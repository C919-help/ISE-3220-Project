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Menu" sheetId="1" r:id="rId4"/>
    <sheet state="visible" name="GPU" sheetId="2" r:id="rId5"/>
    <sheet state="visible" name="CPU" sheetId="3" r:id="rId6"/>
    <sheet state="visible" name="Motherboard" sheetId="4" r:id="rId7"/>
    <sheet state="visible" name="RAM" sheetId="5" r:id="rId8"/>
    <sheet state="visible" name="Storage" sheetId="6" r:id="rId9"/>
    <sheet state="visible" name="Case" sheetId="7" r:id="rId10"/>
    <sheet state="visible" name="Power Supply" sheetId="8" r:id="rId11"/>
    <sheet state="visible" name="Cooling" sheetId="9" r:id="rId12"/>
    <sheet state="visible" name="Fans" sheetId="10" r:id="rId13"/>
  </sheets>
  <definedNames/>
  <calcPr/>
</workbook>
</file>

<file path=xl/sharedStrings.xml><?xml version="1.0" encoding="utf-8"?>
<sst xmlns="http://schemas.openxmlformats.org/spreadsheetml/2006/main" count="640" uniqueCount="350">
  <si>
    <t>Variable Encoding</t>
  </si>
  <si>
    <t>Part Name</t>
  </si>
  <si>
    <t>Subscripts</t>
  </si>
  <si>
    <t>Subscript Meaning</t>
  </si>
  <si>
    <t>Lambda (performance)</t>
  </si>
  <si>
    <t>Color</t>
  </si>
  <si>
    <t># Encoding</t>
  </si>
  <si>
    <t>G</t>
  </si>
  <si>
    <t>GPU</t>
  </si>
  <si>
    <t>i</t>
  </si>
  <si>
    <t>i = model #</t>
  </si>
  <si>
    <t>Black</t>
  </si>
  <si>
    <t>C</t>
  </si>
  <si>
    <t>CPU</t>
  </si>
  <si>
    <t>White</t>
  </si>
  <si>
    <t>M</t>
  </si>
  <si>
    <t>Motherboard</t>
  </si>
  <si>
    <t>Grey</t>
  </si>
  <si>
    <t>R / w (# of sticks)</t>
  </si>
  <si>
    <t>RAM</t>
  </si>
  <si>
    <t>Pink</t>
  </si>
  <si>
    <t>S</t>
  </si>
  <si>
    <t>Storage</t>
  </si>
  <si>
    <t>"Rainbow"</t>
  </si>
  <si>
    <t>E</t>
  </si>
  <si>
    <t>Case</t>
  </si>
  <si>
    <t>P</t>
  </si>
  <si>
    <t>Power Supply</t>
  </si>
  <si>
    <t>L</t>
  </si>
  <si>
    <t>Cooling</t>
  </si>
  <si>
    <t>i= model #</t>
  </si>
  <si>
    <t>F / n (# of fans)</t>
  </si>
  <si>
    <t>Fans</t>
  </si>
  <si>
    <t>User Inputs:</t>
  </si>
  <si>
    <t>RGB</t>
  </si>
  <si>
    <t>0=No, 1=Yes, 2=NA</t>
  </si>
  <si>
    <t>Budget</t>
  </si>
  <si>
    <t>Variable</t>
  </si>
  <si>
    <t>Model Name</t>
  </si>
  <si>
    <t>Maximum FPS (in Cyberpunk 1440p)</t>
  </si>
  <si>
    <t>RGB? (Y/N)</t>
  </si>
  <si>
    <t>Price</t>
  </si>
  <si>
    <t>Performance</t>
  </si>
  <si>
    <t>G1</t>
  </si>
  <si>
    <t>Gigabyte AORUS MASTER GeForce RTX 5090</t>
  </si>
  <si>
    <t>Y</t>
  </si>
  <si>
    <t>G2</t>
  </si>
  <si>
    <t>Asus PRIME GeForce RTX 5070 Ti</t>
  </si>
  <si>
    <t>N</t>
  </si>
  <si>
    <t>G3</t>
  </si>
  <si>
    <t>Sapphire PULSE Radeon RX 9060 XT</t>
  </si>
  <si>
    <t>G4</t>
  </si>
  <si>
    <t>PowerColor Reaper Radeon RX 9070</t>
  </si>
  <si>
    <t>G5</t>
  </si>
  <si>
    <t>XFX Swift OC Radeon RX 9060 XT</t>
  </si>
  <si>
    <t>G6</t>
  </si>
  <si>
    <t>Sapphire PURE Radeon RX 9070 XT</t>
  </si>
  <si>
    <t>G7</t>
  </si>
  <si>
    <t>ASRock Challenger Radeon RX 6600</t>
  </si>
  <si>
    <t>G8</t>
  </si>
  <si>
    <t>Gigabyte AERO OC GeForce RTX 5060 Ti</t>
  </si>
  <si>
    <t>G9</t>
  </si>
  <si>
    <t>Gigabyte GAMING OC GeForce RTX 3060 Ti</t>
  </si>
  <si>
    <t>Rainbow</t>
  </si>
  <si>
    <t>G10</t>
  </si>
  <si>
    <t>Asus PRIME GeForce RTX 5080</t>
  </si>
  <si>
    <t>G11</t>
  </si>
  <si>
    <t>Yeston LP GeForce RTX 3050</t>
  </si>
  <si>
    <t>G12</t>
  </si>
  <si>
    <t>GALAX EX Gamer Pink GeForce RTX 4070</t>
  </si>
  <si>
    <t>Brand</t>
  </si>
  <si>
    <t>Base Frequency (GHz)</t>
  </si>
  <si>
    <t>Cores/Threads</t>
  </si>
  <si>
    <t>C1</t>
  </si>
  <si>
    <t>Core i7-14700K</t>
  </si>
  <si>
    <t>Intel</t>
  </si>
  <si>
    <t>20/28</t>
  </si>
  <si>
    <t>C2</t>
  </si>
  <si>
    <t>Core i5-14600K</t>
  </si>
  <si>
    <t>14/20</t>
  </si>
  <si>
    <t>C3</t>
  </si>
  <si>
    <t>Core i9-14900K</t>
  </si>
  <si>
    <t>16/32</t>
  </si>
  <si>
    <t>C4</t>
  </si>
  <si>
    <t>Core i5-12400F</t>
  </si>
  <si>
    <t>C5</t>
  </si>
  <si>
    <t>Ryzen 7 9800X3D</t>
  </si>
  <si>
    <t>AMD</t>
  </si>
  <si>
    <t>C6</t>
  </si>
  <si>
    <t>Ryzen 7 9700X</t>
  </si>
  <si>
    <t>C7</t>
  </si>
  <si>
    <t>Ryzen 7 5700X3D</t>
  </si>
  <si>
    <t>C8</t>
  </si>
  <si>
    <t>Ryzen 9 9950X3D</t>
  </si>
  <si>
    <t>C9</t>
  </si>
  <si>
    <t>Ryzen 5 9600X</t>
  </si>
  <si>
    <t>C10</t>
  </si>
  <si>
    <t>Ryzen 5 5600</t>
  </si>
  <si>
    <t>C11</t>
  </si>
  <si>
    <t>Ryzen 5 8600G</t>
  </si>
  <si>
    <t>C12</t>
  </si>
  <si>
    <t>Ryzen 5 5600G</t>
  </si>
  <si>
    <t>Source: https://www.tomshardware.com/reviews/best-cpus,3986.html</t>
  </si>
  <si>
    <t>Compatibility</t>
  </si>
  <si>
    <t>Memory Max (GB)</t>
  </si>
  <si>
    <t>M1</t>
  </si>
  <si>
    <t>ASRock H470M-HVS</t>
  </si>
  <si>
    <t>64 GB</t>
  </si>
  <si>
    <t>M2</t>
  </si>
  <si>
    <t xml:space="preserve">Gigabyte B760M GAMING PLUS WIFI DDR4
</t>
  </si>
  <si>
    <t>128 GB</t>
  </si>
  <si>
    <t>M3</t>
  </si>
  <si>
    <t>MSI PRO B760-P WIFI DDR4</t>
  </si>
  <si>
    <t>M4</t>
  </si>
  <si>
    <t xml:space="preserve">Asus B760M-AYW WIFI D4 II
</t>
  </si>
  <si>
    <t>M5</t>
  </si>
  <si>
    <t>MSI B760 GAMING PLUS WIFI DDR4</t>
  </si>
  <si>
    <t>M6</t>
  </si>
  <si>
    <t>Gigabyte B760M DS3H DDR4</t>
  </si>
  <si>
    <t>M7</t>
  </si>
  <si>
    <t>Asus PRIME H610M-K D4</t>
  </si>
  <si>
    <t>M8</t>
  </si>
  <si>
    <t>MSI MAG Z690 TOMAHAWK WIFI DDR4</t>
  </si>
  <si>
    <t>M9</t>
  </si>
  <si>
    <t>MSI MPG Z490 GAMING PLUS</t>
  </si>
  <si>
    <t>M10</t>
  </si>
  <si>
    <t>ASRock Z390 Phantom Gaming 4</t>
  </si>
  <si>
    <t>M11</t>
  </si>
  <si>
    <t>Asus PRIME B550M-A WIFI II</t>
  </si>
  <si>
    <t>M12</t>
  </si>
  <si>
    <t>Gigabyte A520M K V2</t>
  </si>
  <si>
    <t>M13</t>
  </si>
  <si>
    <t>Gigabyte B550 EAGLE WIFI6</t>
  </si>
  <si>
    <t>M14</t>
  </si>
  <si>
    <t>MSI MAG B550 TOMAHAWK MAX WIFI</t>
  </si>
  <si>
    <t>M15</t>
  </si>
  <si>
    <t>MSI B550-A PRO</t>
  </si>
  <si>
    <t>M16</t>
  </si>
  <si>
    <t>Asus ROG STRIX B550-F GAMING WIFI II</t>
  </si>
  <si>
    <t xml:space="preserve">Black </t>
  </si>
  <si>
    <t>M17</t>
  </si>
  <si>
    <t>MSI MPG B550 GAMING PLUS</t>
  </si>
  <si>
    <t>M18</t>
  </si>
  <si>
    <t>MSI B450M-A PRO MAX II</t>
  </si>
  <si>
    <t>M19</t>
  </si>
  <si>
    <t>Gigabyte B550 AORUS ELITE AX V2</t>
  </si>
  <si>
    <t>M20</t>
  </si>
  <si>
    <t>ASUS ROG STRIX B850 A GAMING WIFI</t>
  </si>
  <si>
    <t>256 GB</t>
  </si>
  <si>
    <t>M21</t>
  </si>
  <si>
    <t>ASRock B450M Steel Legend</t>
  </si>
  <si>
    <t>GB</t>
  </si>
  <si>
    <t>DDR(4 or 5)</t>
  </si>
  <si>
    <t>Product</t>
  </si>
  <si>
    <t>Price (per stick)</t>
  </si>
  <si>
    <t>R1</t>
  </si>
  <si>
    <t>Corsair Vengeance RGB 32 GB</t>
  </si>
  <si>
    <t>R2</t>
  </si>
  <si>
    <t>Crucial Pro Overclocking 32 GB</t>
  </si>
  <si>
    <t>R3</t>
  </si>
  <si>
    <t>R4</t>
  </si>
  <si>
    <t>G.Skill Trident Z5 Neo RGB 32 GB</t>
  </si>
  <si>
    <t>R5</t>
  </si>
  <si>
    <t>Crucial Pro 32 GB</t>
  </si>
  <si>
    <t>R6</t>
  </si>
  <si>
    <t>G.Skill Trident Z5 Neo RGB 64 GB</t>
  </si>
  <si>
    <t>R7</t>
  </si>
  <si>
    <t>Silicon Power Value Gaming 32 GB</t>
  </si>
  <si>
    <t>R8</t>
  </si>
  <si>
    <t>TEAMGROUP T-Force Delta RGB 32 GB</t>
  </si>
  <si>
    <t>R9</t>
  </si>
  <si>
    <t>Corsair Vengeance LPX 32 GB</t>
  </si>
  <si>
    <t>R10</t>
  </si>
  <si>
    <t>G.Skill Ripjaws V 32 GB</t>
  </si>
  <si>
    <t>R11</t>
  </si>
  <si>
    <t>G.Skill Ripjaws V 16 GB</t>
  </si>
  <si>
    <t>R12</t>
  </si>
  <si>
    <t>R13</t>
  </si>
  <si>
    <t>Corsair Vengeance 128 GB</t>
  </si>
  <si>
    <t>R14</t>
  </si>
  <si>
    <t>G.Skill Trident Z RGB 32 GB</t>
  </si>
  <si>
    <t>R15</t>
  </si>
  <si>
    <t>Corsair Vengeance RGB Pro 32 GB</t>
  </si>
  <si>
    <t>R16</t>
  </si>
  <si>
    <t>Crucial CP2K64G56C46U5 128 GB</t>
  </si>
  <si>
    <t>R17</t>
  </si>
  <si>
    <t>Team Xtreem 48 GB</t>
  </si>
  <si>
    <t>R18</t>
  </si>
  <si>
    <t>V-COLOR Manta XFinity 64 GB</t>
  </si>
  <si>
    <t>Storage (GB)</t>
  </si>
  <si>
    <t>S1</t>
  </si>
  <si>
    <t>Samsung 990 Pro 2 TB M.2-2280 PCIe 4.0 X4 NVME Solid State Drive</t>
  </si>
  <si>
    <t>S2</t>
  </si>
  <si>
    <t>Crucial P3 Plus 1 TB M.2-2280 PCIe 4.0 X4 NVME Solid State Drive</t>
  </si>
  <si>
    <t>S3</t>
  </si>
  <si>
    <t>Kingston NV3 1 TB M.2-2280 PCIe 4.0 X4 NVME Solid State Drive</t>
  </si>
  <si>
    <t>S4</t>
  </si>
  <si>
    <t>SK Hynix Platinum P41</t>
  </si>
  <si>
    <t>S5</t>
  </si>
  <si>
    <t>Patriot P400 Lite 2</t>
  </si>
  <si>
    <t>S6</t>
  </si>
  <si>
    <t>Samsung 870 Evo 1TB</t>
  </si>
  <si>
    <t>S7</t>
  </si>
  <si>
    <t>Samsung 870 Evo 2 TB</t>
  </si>
  <si>
    <t>S8</t>
  </si>
  <si>
    <t>PNY CS900 1 TB</t>
  </si>
  <si>
    <t>S9</t>
  </si>
  <si>
    <t>PNY CS900 2 TB</t>
  </si>
  <si>
    <t>S10</t>
  </si>
  <si>
    <t>Timetec 30TT253X2</t>
  </si>
  <si>
    <t>S11</t>
  </si>
  <si>
    <t>Seagate Surveillance HDD 2 TB</t>
  </si>
  <si>
    <t>S12</t>
  </si>
  <si>
    <t xml:space="preserve">Seagate BarraCuda 2TB </t>
  </si>
  <si>
    <t>S13</t>
  </si>
  <si>
    <t>Western Digital Blue Hard Drive</t>
  </si>
  <si>
    <t>S14</t>
  </si>
  <si>
    <t>Seagate SATA Hard Drive</t>
  </si>
  <si>
    <t>S15</t>
  </si>
  <si>
    <t>Seagate BarraCuda Hard Drive</t>
  </si>
  <si>
    <t>1-5: M.2SSD</t>
  </si>
  <si>
    <t>6-10: 2.5SSD</t>
  </si>
  <si>
    <t>11-15: HDD</t>
  </si>
  <si>
    <t>Size (External Volume)</t>
  </si>
  <si>
    <t>RGB?</t>
  </si>
  <si>
    <t>E1</t>
  </si>
  <si>
    <t>Montech XR ATX</t>
  </si>
  <si>
    <t>E2</t>
  </si>
  <si>
    <t>Corsair 3500X ARGB</t>
  </si>
  <si>
    <t>E3</t>
  </si>
  <si>
    <t>NZXT H5 Flow</t>
  </si>
  <si>
    <t>E4</t>
  </si>
  <si>
    <t>Phanteks XT PRO</t>
  </si>
  <si>
    <t>E5</t>
  </si>
  <si>
    <t>Antec C5 ARGB</t>
  </si>
  <si>
    <t>E6</t>
  </si>
  <si>
    <t>Thermaltake View 380</t>
  </si>
  <si>
    <t>E7</t>
  </si>
  <si>
    <t>Apevia Phantom Mesh</t>
  </si>
  <si>
    <t>E8</t>
  </si>
  <si>
    <t>HYTE X50</t>
  </si>
  <si>
    <t>E9</t>
  </si>
  <si>
    <t>Fractal Design Pop XL Air</t>
  </si>
  <si>
    <t>E10</t>
  </si>
  <si>
    <t>Antec C8 ARGB</t>
  </si>
  <si>
    <t>E11</t>
  </si>
  <si>
    <t>Vetroo AL800</t>
  </si>
  <si>
    <t>E12</t>
  </si>
  <si>
    <t>Phanteks Enthoo Pro</t>
  </si>
  <si>
    <t>E13</t>
  </si>
  <si>
    <t>FSP Group CUT593P</t>
  </si>
  <si>
    <t>E14</t>
  </si>
  <si>
    <t>be quiet! Light Base 900 DX</t>
  </si>
  <si>
    <t>E15</t>
  </si>
  <si>
    <t>ThermalTake View 71</t>
  </si>
  <si>
    <t>E16</t>
  </si>
  <si>
    <t>Fractal Design Torrent</t>
  </si>
  <si>
    <t>Wattage (W)</t>
  </si>
  <si>
    <t>P1</t>
  </si>
  <si>
    <t>MSI MAG A750GL PCIE5</t>
  </si>
  <si>
    <t>P2</t>
  </si>
  <si>
    <t>Vetroo GV1000</t>
  </si>
  <si>
    <t>P3</t>
  </si>
  <si>
    <t>MSI MAG A650BN</t>
  </si>
  <si>
    <t>P4</t>
  </si>
  <si>
    <t>Corsair RM850e</t>
  </si>
  <si>
    <t>P5</t>
  </si>
  <si>
    <t>Corsair SF1000</t>
  </si>
  <si>
    <t>P6</t>
  </si>
  <si>
    <t>Xilence XP1250MR9.2</t>
  </si>
  <si>
    <t>P7</t>
  </si>
  <si>
    <t>Corsair RM750e</t>
  </si>
  <si>
    <t>P8</t>
  </si>
  <si>
    <t>MSI MAG A550BN</t>
  </si>
  <si>
    <t>P9</t>
  </si>
  <si>
    <t>Silverstone HELA</t>
  </si>
  <si>
    <t>P10</t>
  </si>
  <si>
    <t>be quiet! Pure Power 12 M</t>
  </si>
  <si>
    <t>P11</t>
  </si>
  <si>
    <t>Lian Li EDGE GOLD</t>
  </si>
  <si>
    <t>P12</t>
  </si>
  <si>
    <t>Asus ROG THOR 1600T Gaming</t>
  </si>
  <si>
    <t>P13</t>
  </si>
  <si>
    <t>Super Flower Leadex Titanium</t>
  </si>
  <si>
    <t>P14</t>
  </si>
  <si>
    <t>Xilence Performance A+ III</t>
  </si>
  <si>
    <t>P15</t>
  </si>
  <si>
    <t>SeaSonic SS-600ES</t>
  </si>
  <si>
    <t>CPU Temp over 21C</t>
  </si>
  <si>
    <t>L1</t>
  </si>
  <si>
    <t>Deepcool ASSASSIN IV (White)</t>
  </si>
  <si>
    <t>L2</t>
  </si>
  <si>
    <t>Deepcool ASSASSIN IV (Black)</t>
  </si>
  <si>
    <t>L3</t>
  </si>
  <si>
    <t>Noctua NH-D15 chromax.black</t>
  </si>
  <si>
    <t>L4</t>
  </si>
  <si>
    <t>Zalman CNPS20X</t>
  </si>
  <si>
    <t>L5</t>
  </si>
  <si>
    <t>ARCTIC Freezer 36 A-RGB</t>
  </si>
  <si>
    <t>L6</t>
  </si>
  <si>
    <t>Scythe Ninja 5</t>
  </si>
  <si>
    <t>L7</t>
  </si>
  <si>
    <t>NZXT Kraken Elite RGB (2025) (Black) HAS SCREEN</t>
  </si>
  <si>
    <t>L8</t>
  </si>
  <si>
    <t>NZXT Kraken Elite RGB (2025) (White) HAS SCREEN</t>
  </si>
  <si>
    <t>L9</t>
  </si>
  <si>
    <t>ARCTIC Liquid Freezer III 360 A-RGB</t>
  </si>
  <si>
    <t>L10</t>
  </si>
  <si>
    <t>L11</t>
  </si>
  <si>
    <t>Fractal Design Celsius+ S24 Prisma PWM ARGB</t>
  </si>
  <si>
    <t>L12</t>
  </si>
  <si>
    <t>ID-COOLING Pinkflow 240 ARGB</t>
  </si>
  <si>
    <t>L13</t>
  </si>
  <si>
    <t>Montech HyperFlow Silent 360</t>
  </si>
  <si>
    <t>L14</t>
  </si>
  <si>
    <t>SAMA Q60 CUP Liquid Cooler</t>
  </si>
  <si>
    <r>
      <rPr/>
      <t xml:space="preserve">Source: </t>
    </r>
    <r>
      <rPr>
        <color rgb="FF1155CC"/>
        <u/>
      </rPr>
      <t>https://gamersnexus.net/megacharts/cpu-coolers#Best-CPU-Coolers-Benchmarks-Chart-Gallery</t>
    </r>
  </si>
  <si>
    <t>RPM (max)</t>
  </si>
  <si>
    <t>Price (per fan)</t>
  </si>
  <si>
    <t>F1</t>
  </si>
  <si>
    <t>Corsair RS120 ARGB</t>
  </si>
  <si>
    <t>F2</t>
  </si>
  <si>
    <t>ARCTIC P12 Pro PST</t>
  </si>
  <si>
    <t>F3</t>
  </si>
  <si>
    <t>Lian Li Uni Fan SL-Infinity</t>
  </si>
  <si>
    <t>F4</t>
  </si>
  <si>
    <t>Noctua P12 redux-1700 PWM</t>
  </si>
  <si>
    <t>F5</t>
  </si>
  <si>
    <t>Vetroo ARGB120</t>
  </si>
  <si>
    <t>F6</t>
  </si>
  <si>
    <t>Lian Li UNI FAN AL 120 V2</t>
  </si>
  <si>
    <t>F7</t>
  </si>
  <si>
    <t>Aerocool Silent Master</t>
  </si>
  <si>
    <t>F8</t>
  </si>
  <si>
    <t>Evercool Spider Filter</t>
  </si>
  <si>
    <t>F9</t>
  </si>
  <si>
    <t>Thermalright TL-S12RW X3</t>
  </si>
  <si>
    <t>F10</t>
  </si>
  <si>
    <t>be quiet! Silent Wings 4</t>
  </si>
  <si>
    <t>F11</t>
  </si>
  <si>
    <t>ARCTIC S12038-8K</t>
  </si>
  <si>
    <t>F12</t>
  </si>
  <si>
    <t>Prlimatech Vortex</t>
  </si>
  <si>
    <t>Red</t>
  </si>
  <si>
    <t>F13</t>
  </si>
  <si>
    <t>ARCTIC P8 Max</t>
  </si>
  <si>
    <t>F14</t>
  </si>
  <si>
    <t>Razer Kunai Chroma</t>
  </si>
  <si>
    <t>F15</t>
  </si>
  <si>
    <t>Thermaltake CT120 EX Reverse ARGB Sync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</si>
</sst>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9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21212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Fill="1" applyFont="1"/>
    <xf borderId="0" fillId="6" fontId="3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readingOrder="0"/>
    </xf>
    <xf borderId="0" fillId="6" fontId="4" numFmtId="0" xfId="0" applyAlignment="1" applyFont="1">
      <alignment vertical="bottom"/>
    </xf>
    <xf borderId="0" fillId="6" fontId="5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amersnexus.net/megacharts/cpu-coolers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3" max="3" width="5.88"/>
    <col customWidth="1" min="4" max="4" width="44.38"/>
    <col customWidth="1" min="5" max="5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5" t="s">
        <v>10</v>
      </c>
      <c r="E2" s="5">
        <v>1.0</v>
      </c>
      <c r="F2" s="5" t="s">
        <v>11</v>
      </c>
      <c r="G2" s="5">
        <v>100.0</v>
      </c>
    </row>
    <row r="3">
      <c r="A3" s="5" t="s">
        <v>12</v>
      </c>
      <c r="B3" s="5" t="s">
        <v>13</v>
      </c>
      <c r="C3" s="5" t="s">
        <v>9</v>
      </c>
      <c r="D3" s="5" t="s">
        <v>10</v>
      </c>
      <c r="E3" s="5">
        <v>1.0</v>
      </c>
      <c r="F3" s="5" t="s">
        <v>14</v>
      </c>
      <c r="G3" s="5">
        <v>200.0</v>
      </c>
    </row>
    <row r="4">
      <c r="A4" s="5" t="s">
        <v>15</v>
      </c>
      <c r="B4" s="5" t="s">
        <v>16</v>
      </c>
      <c r="C4" s="5" t="s">
        <v>9</v>
      </c>
      <c r="D4" s="5" t="s">
        <v>10</v>
      </c>
      <c r="E4" s="5">
        <v>1.0</v>
      </c>
      <c r="F4" s="5" t="s">
        <v>17</v>
      </c>
      <c r="G4" s="5">
        <v>300.0</v>
      </c>
    </row>
    <row r="5">
      <c r="A5" s="5" t="s">
        <v>18</v>
      </c>
      <c r="B5" s="5" t="s">
        <v>19</v>
      </c>
      <c r="C5" s="5" t="s">
        <v>9</v>
      </c>
      <c r="D5" s="5" t="s">
        <v>10</v>
      </c>
      <c r="E5" s="5">
        <v>0.8</v>
      </c>
      <c r="F5" s="5" t="s">
        <v>20</v>
      </c>
      <c r="G5" s="5">
        <v>400.0</v>
      </c>
    </row>
    <row r="6">
      <c r="A6" s="5" t="s">
        <v>21</v>
      </c>
      <c r="B6" s="5" t="s">
        <v>22</v>
      </c>
      <c r="C6" s="5" t="s">
        <v>9</v>
      </c>
      <c r="D6" s="5" t="s">
        <v>10</v>
      </c>
      <c r="E6" s="5">
        <v>0.6</v>
      </c>
      <c r="F6" s="5" t="s">
        <v>23</v>
      </c>
      <c r="G6" s="5">
        <v>500.0</v>
      </c>
    </row>
    <row r="7">
      <c r="A7" s="5" t="s">
        <v>24</v>
      </c>
      <c r="B7" s="5" t="s">
        <v>25</v>
      </c>
      <c r="C7" s="5" t="s">
        <v>9</v>
      </c>
      <c r="D7" s="5" t="s">
        <v>10</v>
      </c>
      <c r="E7" s="5">
        <v>0.2</v>
      </c>
    </row>
    <row r="8">
      <c r="A8" s="5" t="s">
        <v>26</v>
      </c>
      <c r="B8" s="5" t="s">
        <v>27</v>
      </c>
      <c r="C8" s="5" t="s">
        <v>9</v>
      </c>
      <c r="D8" s="5" t="s">
        <v>10</v>
      </c>
      <c r="E8" s="5">
        <v>0.4</v>
      </c>
    </row>
    <row r="9">
      <c r="A9" s="5" t="s">
        <v>28</v>
      </c>
      <c r="B9" s="5" t="s">
        <v>29</v>
      </c>
      <c r="C9" s="5" t="s">
        <v>9</v>
      </c>
      <c r="D9" s="5" t="s">
        <v>30</v>
      </c>
      <c r="E9" s="5">
        <v>0.6</v>
      </c>
    </row>
    <row r="10">
      <c r="A10" s="5" t="s">
        <v>31</v>
      </c>
      <c r="B10" s="5" t="s">
        <v>32</v>
      </c>
      <c r="C10" s="5" t="s">
        <v>9</v>
      </c>
      <c r="D10" s="5" t="s">
        <v>10</v>
      </c>
      <c r="E10" s="5">
        <v>0.2</v>
      </c>
    </row>
    <row r="12">
      <c r="A12" s="6" t="s">
        <v>33</v>
      </c>
    </row>
    <row r="13">
      <c r="A13" s="5" t="s">
        <v>34</v>
      </c>
      <c r="B13" s="5" t="s">
        <v>35</v>
      </c>
    </row>
    <row r="14">
      <c r="A14" s="5" t="s">
        <v>36</v>
      </c>
      <c r="B14" s="5"/>
    </row>
    <row r="15">
      <c r="A15" s="5" t="s">
        <v>5</v>
      </c>
      <c r="B15" s="5"/>
    </row>
    <row r="20">
      <c r="A2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0"/>
    <col customWidth="1" min="3" max="3" width="24.5"/>
    <col customWidth="1" min="7" max="7" width="11.75"/>
  </cols>
  <sheetData>
    <row r="1">
      <c r="A1" s="7" t="s">
        <v>37</v>
      </c>
      <c r="B1" s="7" t="s">
        <v>38</v>
      </c>
      <c r="C1" s="7" t="s">
        <v>39</v>
      </c>
      <c r="D1" s="7" t="s">
        <v>5</v>
      </c>
      <c r="E1" s="7" t="s">
        <v>40</v>
      </c>
      <c r="F1" s="7" t="s">
        <v>41</v>
      </c>
      <c r="G1" s="8" t="s">
        <v>42</v>
      </c>
      <c r="H1" s="9"/>
    </row>
    <row r="2">
      <c r="A2" s="5" t="s">
        <v>43</v>
      </c>
      <c r="B2" s="5" t="s">
        <v>44</v>
      </c>
      <c r="C2" s="5">
        <v>270.0</v>
      </c>
      <c r="D2" s="5" t="s">
        <v>14</v>
      </c>
      <c r="E2" s="5" t="s">
        <v>45</v>
      </c>
      <c r="F2" s="5">
        <v>3299.0</v>
      </c>
      <c r="G2" s="10">
        <v>10.0</v>
      </c>
    </row>
    <row r="3">
      <c r="A3" s="5" t="s">
        <v>46</v>
      </c>
      <c r="B3" s="5" t="s">
        <v>47</v>
      </c>
      <c r="C3" s="5">
        <v>93.0</v>
      </c>
      <c r="D3" s="5" t="s">
        <v>11</v>
      </c>
      <c r="E3" s="5" t="s">
        <v>48</v>
      </c>
      <c r="F3" s="5">
        <v>749.99</v>
      </c>
      <c r="G3" s="10">
        <v>3.07</v>
      </c>
    </row>
    <row r="4">
      <c r="A4" s="5" t="s">
        <v>49</v>
      </c>
      <c r="B4" s="5" t="s">
        <v>50</v>
      </c>
      <c r="C4" s="5">
        <v>70.0</v>
      </c>
      <c r="D4" s="5" t="s">
        <v>11</v>
      </c>
      <c r="E4" s="5" t="s">
        <v>48</v>
      </c>
      <c r="F4" s="5">
        <v>379.99</v>
      </c>
      <c r="G4" s="10">
        <v>2.17</v>
      </c>
    </row>
    <row r="5">
      <c r="A5" s="5" t="s">
        <v>51</v>
      </c>
      <c r="B5" s="5" t="s">
        <v>52</v>
      </c>
      <c r="C5" s="5">
        <v>60.0</v>
      </c>
      <c r="D5" s="5" t="s">
        <v>11</v>
      </c>
      <c r="E5" s="5" t="s">
        <v>48</v>
      </c>
      <c r="F5" s="5">
        <v>549.99</v>
      </c>
      <c r="G5" s="10">
        <v>1.78</v>
      </c>
    </row>
    <row r="6">
      <c r="A6" s="5" t="s">
        <v>53</v>
      </c>
      <c r="B6" s="5" t="s">
        <v>54</v>
      </c>
      <c r="C6" s="5">
        <v>70.0</v>
      </c>
      <c r="D6" s="5" t="s">
        <v>14</v>
      </c>
      <c r="E6" s="5" t="s">
        <v>45</v>
      </c>
      <c r="F6" s="5">
        <v>379.99</v>
      </c>
      <c r="G6" s="10">
        <v>2.17</v>
      </c>
    </row>
    <row r="7">
      <c r="A7" s="5" t="s">
        <v>55</v>
      </c>
      <c r="B7" s="5" t="s">
        <v>56</v>
      </c>
      <c r="C7" s="5">
        <v>125.0</v>
      </c>
      <c r="D7" s="5" t="s">
        <v>14</v>
      </c>
      <c r="E7" s="5" t="s">
        <v>45</v>
      </c>
      <c r="F7" s="5">
        <v>906.14</v>
      </c>
      <c r="G7" s="10">
        <v>4.33</v>
      </c>
    </row>
    <row r="8">
      <c r="A8" s="5" t="s">
        <v>57</v>
      </c>
      <c r="B8" s="5" t="s">
        <v>58</v>
      </c>
      <c r="C8" s="5">
        <v>45.0</v>
      </c>
      <c r="D8" s="5" t="s">
        <v>14</v>
      </c>
      <c r="E8" s="5" t="s">
        <v>48</v>
      </c>
      <c r="F8" s="5">
        <v>333.91</v>
      </c>
      <c r="G8" s="10">
        <v>1.2</v>
      </c>
    </row>
    <row r="9">
      <c r="A9" s="5" t="s">
        <v>59</v>
      </c>
      <c r="B9" s="5" t="s">
        <v>60</v>
      </c>
      <c r="C9" s="5">
        <v>83.0</v>
      </c>
      <c r="D9" s="5" t="s">
        <v>17</v>
      </c>
      <c r="E9" s="5" t="s">
        <v>45</v>
      </c>
      <c r="F9" s="5">
        <v>479.99</v>
      </c>
      <c r="G9" s="10">
        <v>2.68</v>
      </c>
    </row>
    <row r="10">
      <c r="A10" s="5" t="s">
        <v>61</v>
      </c>
      <c r="B10" s="5" t="s">
        <v>62</v>
      </c>
      <c r="C10" s="5">
        <v>60.0</v>
      </c>
      <c r="D10" s="5" t="s">
        <v>63</v>
      </c>
      <c r="E10" s="5" t="s">
        <v>45</v>
      </c>
      <c r="F10" s="5">
        <v>329.99</v>
      </c>
      <c r="G10" s="10">
        <v>1.78</v>
      </c>
    </row>
    <row r="11">
      <c r="A11" s="5" t="s">
        <v>64</v>
      </c>
      <c r="B11" s="5" t="s">
        <v>65</v>
      </c>
      <c r="C11" s="5">
        <v>150.0</v>
      </c>
      <c r="D11" s="5" t="s">
        <v>11</v>
      </c>
      <c r="E11" s="5" t="s">
        <v>48</v>
      </c>
      <c r="F11" s="5">
        <v>999.99</v>
      </c>
      <c r="G11" s="10">
        <v>5.3</v>
      </c>
    </row>
    <row r="12">
      <c r="A12" s="5" t="s">
        <v>66</v>
      </c>
      <c r="B12" s="5" t="s">
        <v>67</v>
      </c>
      <c r="C12" s="5">
        <v>40.0</v>
      </c>
      <c r="D12" s="5" t="s">
        <v>20</v>
      </c>
      <c r="E12" s="5" t="s">
        <v>48</v>
      </c>
      <c r="F12" s="5">
        <v>219.0</v>
      </c>
      <c r="G12" s="10">
        <v>1.0</v>
      </c>
    </row>
    <row r="13">
      <c r="A13" s="5" t="s">
        <v>68</v>
      </c>
      <c r="B13" s="5" t="s">
        <v>69</v>
      </c>
      <c r="C13" s="5">
        <v>85.0</v>
      </c>
      <c r="D13" s="5" t="s">
        <v>20</v>
      </c>
      <c r="E13" s="5" t="s">
        <v>45</v>
      </c>
      <c r="F13" s="5">
        <v>700.0</v>
      </c>
      <c r="G13" s="10">
        <v>2.76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25"/>
    <col customWidth="1" min="4" max="4" width="19.25"/>
  </cols>
  <sheetData>
    <row r="1">
      <c r="A1" s="7" t="s">
        <v>37</v>
      </c>
      <c r="B1" s="7" t="s">
        <v>38</v>
      </c>
      <c r="C1" s="7" t="s">
        <v>70</v>
      </c>
      <c r="D1" s="7" t="s">
        <v>71</v>
      </c>
      <c r="E1" s="7" t="s">
        <v>72</v>
      </c>
      <c r="F1" s="7" t="s">
        <v>41</v>
      </c>
      <c r="G1" s="8" t="s">
        <v>42</v>
      </c>
      <c r="H1" s="11"/>
    </row>
    <row r="2">
      <c r="A2" s="5" t="s">
        <v>73</v>
      </c>
      <c r="B2" s="5" t="s">
        <v>74</v>
      </c>
      <c r="C2" s="5" t="s">
        <v>75</v>
      </c>
      <c r="D2" s="5">
        <v>3.4</v>
      </c>
      <c r="E2" s="12" t="s">
        <v>76</v>
      </c>
      <c r="F2" s="5">
        <v>339.0</v>
      </c>
      <c r="G2" s="10">
        <v>4.68</v>
      </c>
    </row>
    <row r="3">
      <c r="A3" s="5" t="s">
        <v>77</v>
      </c>
      <c r="B3" s="5" t="s">
        <v>78</v>
      </c>
      <c r="C3" s="5" t="s">
        <v>75</v>
      </c>
      <c r="D3" s="5">
        <v>3.5</v>
      </c>
      <c r="E3" s="12" t="s">
        <v>79</v>
      </c>
      <c r="F3" s="5">
        <v>235.0</v>
      </c>
      <c r="G3" s="10">
        <v>5.09</v>
      </c>
    </row>
    <row r="4">
      <c r="A4" s="5" t="s">
        <v>80</v>
      </c>
      <c r="B4" s="5" t="s">
        <v>81</v>
      </c>
      <c r="C4" s="5" t="s">
        <v>75</v>
      </c>
      <c r="D4" s="5">
        <v>3.2</v>
      </c>
      <c r="E4" s="12" t="s">
        <v>82</v>
      </c>
      <c r="F4" s="5">
        <v>438.0</v>
      </c>
      <c r="G4" s="10">
        <v>3.86</v>
      </c>
    </row>
    <row r="5">
      <c r="A5" s="5" t="s">
        <v>83</v>
      </c>
      <c r="B5" s="5" t="s">
        <v>84</v>
      </c>
      <c r="C5" s="5" t="s">
        <v>75</v>
      </c>
      <c r="D5" s="5">
        <v>2.5</v>
      </c>
      <c r="E5" s="13">
        <v>45820.0</v>
      </c>
      <c r="F5" s="5">
        <v>110.0</v>
      </c>
      <c r="G5" s="10">
        <v>1.0</v>
      </c>
    </row>
    <row r="6">
      <c r="A6" s="5" t="s">
        <v>85</v>
      </c>
      <c r="B6" s="5" t="s">
        <v>86</v>
      </c>
      <c r="C6" s="5" t="s">
        <v>87</v>
      </c>
      <c r="D6" s="5">
        <v>4.7</v>
      </c>
      <c r="E6" s="13">
        <v>45885.0</v>
      </c>
      <c r="F6" s="5">
        <v>480.0</v>
      </c>
      <c r="G6" s="10">
        <v>10.0</v>
      </c>
    </row>
    <row r="7">
      <c r="A7" s="5" t="s">
        <v>88</v>
      </c>
      <c r="B7" s="5" t="s">
        <v>89</v>
      </c>
      <c r="C7" s="5" t="s">
        <v>87</v>
      </c>
      <c r="D7" s="5">
        <v>3.8</v>
      </c>
      <c r="E7" s="13">
        <v>45885.0</v>
      </c>
      <c r="F7" s="5">
        <v>318.0</v>
      </c>
      <c r="G7" s="10">
        <v>6.32</v>
      </c>
    </row>
    <row r="8">
      <c r="A8" s="5" t="s">
        <v>90</v>
      </c>
      <c r="B8" s="5" t="s">
        <v>91</v>
      </c>
      <c r="C8" s="5" t="s">
        <v>87</v>
      </c>
      <c r="D8" s="5">
        <v>3.0</v>
      </c>
      <c r="E8" s="13">
        <v>45885.0</v>
      </c>
      <c r="F8" s="5">
        <v>229.0</v>
      </c>
      <c r="G8" s="10">
        <v>3.05</v>
      </c>
    </row>
    <row r="9">
      <c r="A9" s="5" t="s">
        <v>92</v>
      </c>
      <c r="B9" s="5" t="s">
        <v>93</v>
      </c>
      <c r="C9" s="5" t="s">
        <v>87</v>
      </c>
      <c r="D9" s="5">
        <v>4.3</v>
      </c>
      <c r="E9" s="12" t="s">
        <v>82</v>
      </c>
      <c r="F9" s="5">
        <v>699.0</v>
      </c>
      <c r="G9" s="10">
        <v>8.36</v>
      </c>
    </row>
    <row r="10">
      <c r="A10" s="5" t="s">
        <v>94</v>
      </c>
      <c r="B10" s="5" t="s">
        <v>95</v>
      </c>
      <c r="C10" s="5" t="s">
        <v>87</v>
      </c>
      <c r="D10" s="5">
        <v>3.9</v>
      </c>
      <c r="E10" s="13">
        <v>45820.0</v>
      </c>
      <c r="F10" s="5">
        <v>240.0</v>
      </c>
      <c r="G10" s="10">
        <v>6.73</v>
      </c>
    </row>
    <row r="11">
      <c r="A11" s="5" t="s">
        <v>96</v>
      </c>
      <c r="B11" s="5" t="s">
        <v>97</v>
      </c>
      <c r="C11" s="5" t="s">
        <v>87</v>
      </c>
      <c r="D11" s="5">
        <v>3.7</v>
      </c>
      <c r="E11" s="13">
        <v>45820.0</v>
      </c>
      <c r="F11" s="5">
        <v>107.0</v>
      </c>
      <c r="G11" s="10">
        <v>5.91</v>
      </c>
    </row>
    <row r="12">
      <c r="A12" s="5" t="s">
        <v>98</v>
      </c>
      <c r="B12" s="5" t="s">
        <v>99</v>
      </c>
      <c r="C12" s="5" t="s">
        <v>87</v>
      </c>
      <c r="D12" s="5">
        <v>4.3</v>
      </c>
      <c r="E12" s="13">
        <v>45820.0</v>
      </c>
      <c r="F12" s="5">
        <v>278.0</v>
      </c>
      <c r="G12" s="10">
        <v>8.36</v>
      </c>
    </row>
    <row r="13">
      <c r="A13" s="5" t="s">
        <v>100</v>
      </c>
      <c r="B13" s="5" t="s">
        <v>101</v>
      </c>
      <c r="C13" s="5" t="s">
        <v>87</v>
      </c>
      <c r="D13" s="5">
        <v>3.9</v>
      </c>
      <c r="E13" s="13">
        <v>45820.0</v>
      </c>
      <c r="F13" s="5">
        <v>120.0</v>
      </c>
      <c r="G13" s="10">
        <v>6.73</v>
      </c>
    </row>
    <row r="24">
      <c r="A24" s="5" t="s">
        <v>102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4" max="4" width="15.38"/>
  </cols>
  <sheetData>
    <row r="1">
      <c r="A1" s="7" t="s">
        <v>37</v>
      </c>
      <c r="B1" s="7" t="s">
        <v>38</v>
      </c>
      <c r="C1" s="7" t="s">
        <v>103</v>
      </c>
      <c r="D1" s="7" t="s">
        <v>104</v>
      </c>
      <c r="E1" s="7" t="s">
        <v>5</v>
      </c>
      <c r="F1" s="7" t="s">
        <v>41</v>
      </c>
      <c r="G1" s="8" t="s">
        <v>42</v>
      </c>
      <c r="H1" s="11"/>
    </row>
    <row r="2">
      <c r="A2" s="5" t="s">
        <v>105</v>
      </c>
      <c r="B2" s="5" t="s">
        <v>106</v>
      </c>
      <c r="C2" s="5" t="s">
        <v>75</v>
      </c>
      <c r="D2" s="5" t="s">
        <v>107</v>
      </c>
      <c r="E2" s="5" t="s">
        <v>11</v>
      </c>
      <c r="F2" s="5">
        <v>59.99</v>
      </c>
      <c r="G2" s="10">
        <v>1.0</v>
      </c>
    </row>
    <row r="3">
      <c r="A3" s="5" t="s">
        <v>108</v>
      </c>
      <c r="B3" s="5" t="s">
        <v>109</v>
      </c>
      <c r="C3" s="5" t="s">
        <v>75</v>
      </c>
      <c r="D3" s="5" t="s">
        <v>110</v>
      </c>
      <c r="E3" s="5" t="s">
        <v>11</v>
      </c>
      <c r="F3" s="5">
        <v>99.99</v>
      </c>
      <c r="G3" s="10">
        <v>4.0</v>
      </c>
    </row>
    <row r="4">
      <c r="A4" s="5" t="s">
        <v>111</v>
      </c>
      <c r="B4" s="5" t="s">
        <v>112</v>
      </c>
      <c r="C4" s="5" t="s">
        <v>75</v>
      </c>
      <c r="D4" s="5" t="s">
        <v>110</v>
      </c>
      <c r="E4" s="5" t="s">
        <v>11</v>
      </c>
      <c r="F4" s="5">
        <v>159.99</v>
      </c>
      <c r="G4" s="10">
        <v>4.0</v>
      </c>
    </row>
    <row r="5">
      <c r="A5" s="5" t="s">
        <v>113</v>
      </c>
      <c r="B5" s="5" t="s">
        <v>114</v>
      </c>
      <c r="C5" s="5" t="s">
        <v>75</v>
      </c>
      <c r="D5" s="5" t="s">
        <v>107</v>
      </c>
      <c r="E5" s="5" t="s">
        <v>11</v>
      </c>
      <c r="F5" s="5">
        <v>89.99</v>
      </c>
      <c r="G5" s="10">
        <v>1.0</v>
      </c>
    </row>
    <row r="6">
      <c r="A6" s="5" t="s">
        <v>115</v>
      </c>
      <c r="B6" s="5" t="s">
        <v>116</v>
      </c>
      <c r="C6" s="5" t="s">
        <v>75</v>
      </c>
      <c r="D6" s="5" t="s">
        <v>110</v>
      </c>
      <c r="E6" s="5" t="s">
        <v>11</v>
      </c>
      <c r="F6" s="5">
        <v>277.44</v>
      </c>
      <c r="G6" s="10">
        <v>4.0</v>
      </c>
    </row>
    <row r="7">
      <c r="A7" s="5" t="s">
        <v>117</v>
      </c>
      <c r="B7" s="5" t="s">
        <v>118</v>
      </c>
      <c r="C7" s="5" t="s">
        <v>75</v>
      </c>
      <c r="D7" s="5" t="s">
        <v>110</v>
      </c>
      <c r="E7" s="5" t="s">
        <v>11</v>
      </c>
      <c r="F7" s="5">
        <v>145.0</v>
      </c>
      <c r="G7" s="10">
        <v>4.0</v>
      </c>
    </row>
    <row r="8">
      <c r="A8" s="5" t="s">
        <v>119</v>
      </c>
      <c r="B8" s="5" t="s">
        <v>120</v>
      </c>
      <c r="C8" s="5" t="s">
        <v>75</v>
      </c>
      <c r="D8" s="5" t="s">
        <v>107</v>
      </c>
      <c r="E8" s="5" t="s">
        <v>17</v>
      </c>
      <c r="F8" s="5">
        <v>109.44</v>
      </c>
      <c r="G8" s="10">
        <v>1.0</v>
      </c>
    </row>
    <row r="9">
      <c r="A9" s="5" t="s">
        <v>121</v>
      </c>
      <c r="B9" s="5" t="s">
        <v>122</v>
      </c>
      <c r="C9" s="5" t="s">
        <v>75</v>
      </c>
      <c r="D9" s="5" t="s">
        <v>110</v>
      </c>
      <c r="E9" s="5" t="s">
        <v>11</v>
      </c>
      <c r="F9" s="5">
        <v>496.73</v>
      </c>
      <c r="G9" s="10">
        <v>4.0</v>
      </c>
    </row>
    <row r="10">
      <c r="A10" s="5" t="s">
        <v>123</v>
      </c>
      <c r="B10" s="5" t="s">
        <v>124</v>
      </c>
      <c r="C10" s="5" t="s">
        <v>75</v>
      </c>
      <c r="D10" s="5" t="s">
        <v>110</v>
      </c>
      <c r="E10" s="5" t="s">
        <v>11</v>
      </c>
      <c r="F10" s="5">
        <v>350.0</v>
      </c>
      <c r="G10" s="10">
        <v>4.0</v>
      </c>
    </row>
    <row r="11">
      <c r="A11" s="5" t="s">
        <v>125</v>
      </c>
      <c r="B11" s="5" t="s">
        <v>126</v>
      </c>
      <c r="C11" s="5" t="s">
        <v>75</v>
      </c>
      <c r="D11" s="5" t="s">
        <v>110</v>
      </c>
      <c r="E11" s="5" t="s">
        <v>11</v>
      </c>
      <c r="F11" s="5">
        <v>199.99</v>
      </c>
      <c r="G11" s="10">
        <v>4.0</v>
      </c>
    </row>
    <row r="12">
      <c r="A12" s="5" t="s">
        <v>127</v>
      </c>
      <c r="B12" s="5" t="s">
        <v>128</v>
      </c>
      <c r="C12" s="5" t="s">
        <v>87</v>
      </c>
      <c r="D12" s="5" t="s">
        <v>110</v>
      </c>
      <c r="E12" s="5" t="s">
        <v>63</v>
      </c>
      <c r="F12" s="5">
        <v>98.3</v>
      </c>
      <c r="G12" s="10">
        <v>4.0</v>
      </c>
    </row>
    <row r="13">
      <c r="A13" s="5" t="s">
        <v>129</v>
      </c>
      <c r="B13" s="5" t="s">
        <v>130</v>
      </c>
      <c r="C13" s="5" t="s">
        <v>87</v>
      </c>
      <c r="D13" s="5" t="s">
        <v>107</v>
      </c>
      <c r="E13" s="5" t="s">
        <v>63</v>
      </c>
      <c r="F13" s="5">
        <v>75.5</v>
      </c>
      <c r="G13" s="10">
        <v>1.0</v>
      </c>
    </row>
    <row r="14">
      <c r="A14" s="5" t="s">
        <v>131</v>
      </c>
      <c r="B14" s="5" t="s">
        <v>132</v>
      </c>
      <c r="C14" s="5" t="s">
        <v>87</v>
      </c>
      <c r="D14" s="5" t="s">
        <v>110</v>
      </c>
      <c r="E14" s="5" t="s">
        <v>11</v>
      </c>
      <c r="F14" s="5">
        <v>99.99</v>
      </c>
      <c r="G14" s="10">
        <v>4.0</v>
      </c>
    </row>
    <row r="15">
      <c r="A15" s="5" t="s">
        <v>133</v>
      </c>
      <c r="B15" s="5" t="s">
        <v>134</v>
      </c>
      <c r="C15" s="5" t="s">
        <v>87</v>
      </c>
      <c r="D15" s="5" t="s">
        <v>110</v>
      </c>
      <c r="E15" s="5" t="s">
        <v>11</v>
      </c>
      <c r="F15" s="5">
        <v>155.68</v>
      </c>
      <c r="G15" s="10">
        <v>4.0</v>
      </c>
    </row>
    <row r="16">
      <c r="A16" s="5" t="s">
        <v>135</v>
      </c>
      <c r="B16" s="5" t="s">
        <v>136</v>
      </c>
      <c r="C16" s="5" t="s">
        <v>87</v>
      </c>
      <c r="D16" s="5" t="s">
        <v>110</v>
      </c>
      <c r="E16" s="5" t="s">
        <v>11</v>
      </c>
      <c r="F16" s="5">
        <v>100.61</v>
      </c>
      <c r="G16" s="10">
        <v>4.0</v>
      </c>
    </row>
    <row r="17">
      <c r="A17" s="5" t="s">
        <v>137</v>
      </c>
      <c r="B17" s="5" t="s">
        <v>138</v>
      </c>
      <c r="C17" s="5" t="s">
        <v>87</v>
      </c>
      <c r="D17" s="5" t="s">
        <v>110</v>
      </c>
      <c r="E17" s="5" t="s">
        <v>139</v>
      </c>
      <c r="F17" s="5">
        <v>169.0</v>
      </c>
      <c r="G17" s="10">
        <v>4.0</v>
      </c>
    </row>
    <row r="18">
      <c r="A18" s="5" t="s">
        <v>140</v>
      </c>
      <c r="B18" s="5" t="s">
        <v>141</v>
      </c>
      <c r="C18" s="5" t="s">
        <v>87</v>
      </c>
      <c r="D18" s="5" t="s">
        <v>110</v>
      </c>
      <c r="E18" s="5" t="s">
        <v>11</v>
      </c>
      <c r="F18" s="5">
        <v>89.99</v>
      </c>
      <c r="G18" s="10">
        <v>4.0</v>
      </c>
    </row>
    <row r="19">
      <c r="A19" s="5" t="s">
        <v>142</v>
      </c>
      <c r="B19" s="5" t="s">
        <v>143</v>
      </c>
      <c r="C19" s="5" t="s">
        <v>87</v>
      </c>
      <c r="D19" s="5" t="s">
        <v>107</v>
      </c>
      <c r="E19" s="5" t="s">
        <v>11</v>
      </c>
      <c r="F19" s="5">
        <v>128.14</v>
      </c>
      <c r="G19" s="10">
        <v>1.0</v>
      </c>
    </row>
    <row r="20">
      <c r="A20" s="5" t="s">
        <v>144</v>
      </c>
      <c r="B20" s="5" t="s">
        <v>145</v>
      </c>
      <c r="C20" s="5" t="s">
        <v>87</v>
      </c>
      <c r="D20" s="5" t="s">
        <v>110</v>
      </c>
      <c r="E20" s="5" t="s">
        <v>11</v>
      </c>
      <c r="F20" s="5">
        <v>136.0</v>
      </c>
      <c r="G20" s="10">
        <v>4.0</v>
      </c>
    </row>
    <row r="21">
      <c r="A21" s="5" t="s">
        <v>146</v>
      </c>
      <c r="B21" s="5" t="s">
        <v>147</v>
      </c>
      <c r="C21" s="5" t="s">
        <v>87</v>
      </c>
      <c r="D21" s="5" t="s">
        <v>148</v>
      </c>
      <c r="E21" s="5" t="s">
        <v>14</v>
      </c>
      <c r="F21" s="5">
        <v>199.99</v>
      </c>
      <c r="G21" s="10">
        <v>10.0</v>
      </c>
    </row>
    <row r="22">
      <c r="A22" s="5" t="s">
        <v>149</v>
      </c>
      <c r="B22" s="5" t="s">
        <v>150</v>
      </c>
      <c r="C22" s="5" t="s">
        <v>87</v>
      </c>
      <c r="D22" s="5" t="s">
        <v>110</v>
      </c>
      <c r="E22" s="5" t="s">
        <v>20</v>
      </c>
      <c r="F22" s="5">
        <v>132.99</v>
      </c>
      <c r="G22" s="10">
        <v>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0"/>
    <col customWidth="1" min="3" max="3" width="5.88"/>
    <col customWidth="1" min="8" max="8" width="14.25"/>
  </cols>
  <sheetData>
    <row r="1">
      <c r="A1" s="7" t="s">
        <v>37</v>
      </c>
      <c r="B1" s="7" t="s">
        <v>38</v>
      </c>
      <c r="C1" s="7" t="s">
        <v>151</v>
      </c>
      <c r="D1" s="7" t="s">
        <v>152</v>
      </c>
      <c r="E1" s="7" t="s">
        <v>153</v>
      </c>
      <c r="F1" s="7" t="s">
        <v>5</v>
      </c>
      <c r="G1" s="7" t="s">
        <v>40</v>
      </c>
      <c r="H1" s="7" t="s">
        <v>154</v>
      </c>
      <c r="I1" s="8" t="s">
        <v>42</v>
      </c>
      <c r="J1" s="11"/>
    </row>
    <row r="2">
      <c r="A2" s="5" t="s">
        <v>155</v>
      </c>
      <c r="B2" s="5" t="s">
        <v>156</v>
      </c>
      <c r="C2" s="5">
        <v>32.0</v>
      </c>
      <c r="D2" s="5">
        <v>5.0</v>
      </c>
      <c r="E2" s="5">
        <f t="shared" ref="E2:E19" si="1">C2*D2</f>
        <v>160</v>
      </c>
      <c r="F2" s="5" t="s">
        <v>11</v>
      </c>
      <c r="G2" s="5" t="s">
        <v>45</v>
      </c>
      <c r="H2" s="5">
        <f>199.99/2</f>
        <v>99.995</v>
      </c>
      <c r="I2" s="10">
        <v>2.5</v>
      </c>
    </row>
    <row r="3">
      <c r="A3" s="5" t="s">
        <v>157</v>
      </c>
      <c r="B3" s="5" t="s">
        <v>158</v>
      </c>
      <c r="C3" s="5">
        <v>32.0</v>
      </c>
      <c r="D3" s="5">
        <v>5.0</v>
      </c>
      <c r="E3" s="5">
        <f t="shared" si="1"/>
        <v>160</v>
      </c>
      <c r="F3" s="5" t="s">
        <v>11</v>
      </c>
      <c r="G3" s="5" t="s">
        <v>48</v>
      </c>
      <c r="H3" s="5">
        <f>255.99/2</f>
        <v>127.995</v>
      </c>
      <c r="I3" s="10">
        <v>2.5</v>
      </c>
    </row>
    <row r="4">
      <c r="A4" s="5" t="s">
        <v>159</v>
      </c>
      <c r="B4" s="5" t="s">
        <v>158</v>
      </c>
      <c r="C4" s="5">
        <v>32.0</v>
      </c>
      <c r="D4" s="5">
        <v>4.0</v>
      </c>
      <c r="E4" s="5">
        <f t="shared" si="1"/>
        <v>128</v>
      </c>
      <c r="F4" s="5" t="s">
        <v>11</v>
      </c>
      <c r="G4" s="5" t="s">
        <v>48</v>
      </c>
      <c r="H4" s="5">
        <f>80.99/2</f>
        <v>40.495</v>
      </c>
      <c r="I4" s="10">
        <v>2.0</v>
      </c>
    </row>
    <row r="5">
      <c r="A5" s="5" t="s">
        <v>160</v>
      </c>
      <c r="B5" s="5" t="s">
        <v>161</v>
      </c>
      <c r="C5" s="5">
        <v>32.0</v>
      </c>
      <c r="D5" s="5">
        <v>5.0</v>
      </c>
      <c r="E5" s="5">
        <f t="shared" si="1"/>
        <v>160</v>
      </c>
      <c r="F5" s="5" t="s">
        <v>11</v>
      </c>
      <c r="G5" s="5" t="s">
        <v>45</v>
      </c>
      <c r="H5" s="5">
        <f>229.95/2</f>
        <v>114.975</v>
      </c>
      <c r="I5" s="10">
        <v>2.5</v>
      </c>
    </row>
    <row r="6">
      <c r="A6" s="5" t="s">
        <v>162</v>
      </c>
      <c r="B6" s="5" t="s">
        <v>163</v>
      </c>
      <c r="C6" s="5">
        <v>32.0</v>
      </c>
      <c r="D6" s="5">
        <v>5.0</v>
      </c>
      <c r="E6" s="5">
        <f t="shared" si="1"/>
        <v>160</v>
      </c>
      <c r="F6" s="5" t="s">
        <v>11</v>
      </c>
      <c r="G6" s="5" t="s">
        <v>48</v>
      </c>
      <c r="H6" s="5">
        <f> 243.99/2</f>
        <v>121.995</v>
      </c>
      <c r="I6" s="10">
        <v>2.5</v>
      </c>
    </row>
    <row r="7">
      <c r="A7" s="5" t="s">
        <v>164</v>
      </c>
      <c r="B7" s="5" t="s">
        <v>165</v>
      </c>
      <c r="C7" s="5">
        <v>64.0</v>
      </c>
      <c r="D7" s="5">
        <v>5.0</v>
      </c>
      <c r="E7" s="5">
        <f t="shared" si="1"/>
        <v>320</v>
      </c>
      <c r="F7" s="5" t="s">
        <v>11</v>
      </c>
      <c r="G7" s="5" t="s">
        <v>45</v>
      </c>
      <c r="H7" s="5">
        <f>499.99/2</f>
        <v>249.995</v>
      </c>
      <c r="I7" s="10">
        <v>5.0</v>
      </c>
    </row>
    <row r="8">
      <c r="A8" s="5" t="s">
        <v>166</v>
      </c>
      <c r="B8" s="5" t="s">
        <v>167</v>
      </c>
      <c r="C8" s="5">
        <v>32.0</v>
      </c>
      <c r="D8" s="5">
        <v>5.0</v>
      </c>
      <c r="E8" s="5">
        <f t="shared" si="1"/>
        <v>160</v>
      </c>
      <c r="F8" s="5" t="s">
        <v>11</v>
      </c>
      <c r="G8" s="5" t="s">
        <v>48</v>
      </c>
      <c r="H8" s="5">
        <f> 229.97/2</f>
        <v>114.985</v>
      </c>
      <c r="I8" s="10">
        <v>2.5</v>
      </c>
    </row>
    <row r="9">
      <c r="A9" s="5" t="s">
        <v>168</v>
      </c>
      <c r="B9" s="5" t="s">
        <v>169</v>
      </c>
      <c r="C9" s="5">
        <v>32.0</v>
      </c>
      <c r="D9" s="5">
        <v>5.0</v>
      </c>
      <c r="E9" s="5">
        <f t="shared" si="1"/>
        <v>160</v>
      </c>
      <c r="F9" s="5" t="s">
        <v>14</v>
      </c>
      <c r="G9" s="5" t="s">
        <v>45</v>
      </c>
      <c r="H9" s="5">
        <f> 249.99/2</f>
        <v>124.995</v>
      </c>
      <c r="I9" s="10">
        <v>2.5</v>
      </c>
    </row>
    <row r="10">
      <c r="A10" s="5" t="s">
        <v>170</v>
      </c>
      <c r="B10" s="5" t="s">
        <v>171</v>
      </c>
      <c r="C10" s="5">
        <v>32.0</v>
      </c>
      <c r="D10" s="5">
        <v>4.0</v>
      </c>
      <c r="E10" s="5">
        <f t="shared" si="1"/>
        <v>128</v>
      </c>
      <c r="F10" s="5" t="s">
        <v>139</v>
      </c>
      <c r="G10" s="5" t="s">
        <v>48</v>
      </c>
      <c r="H10" s="5">
        <v>188.99</v>
      </c>
      <c r="I10" s="10">
        <v>2.0</v>
      </c>
    </row>
    <row r="11">
      <c r="A11" s="5" t="s">
        <v>172</v>
      </c>
      <c r="B11" s="5" t="s">
        <v>173</v>
      </c>
      <c r="C11" s="5">
        <v>32.0</v>
      </c>
      <c r="D11" s="5">
        <v>4.0</v>
      </c>
      <c r="E11" s="5">
        <f t="shared" si="1"/>
        <v>128</v>
      </c>
      <c r="F11" s="5" t="s">
        <v>11</v>
      </c>
      <c r="G11" s="5" t="s">
        <v>48</v>
      </c>
      <c r="H11" s="5">
        <f> 145.9/2</f>
        <v>72.95</v>
      </c>
      <c r="I11" s="10">
        <v>2.0</v>
      </c>
    </row>
    <row r="12">
      <c r="A12" s="5" t="s">
        <v>174</v>
      </c>
      <c r="B12" s="5" t="s">
        <v>175</v>
      </c>
      <c r="C12" s="5">
        <v>16.0</v>
      </c>
      <c r="D12" s="5">
        <v>4.0</v>
      </c>
      <c r="E12" s="5">
        <f t="shared" si="1"/>
        <v>64</v>
      </c>
      <c r="F12" s="5" t="s">
        <v>11</v>
      </c>
      <c r="G12" s="5" t="s">
        <v>48</v>
      </c>
      <c r="H12" s="5">
        <v>89.99</v>
      </c>
      <c r="I12" s="10">
        <v>1.0</v>
      </c>
    </row>
    <row r="13">
      <c r="A13" s="5" t="s">
        <v>176</v>
      </c>
      <c r="B13" s="5" t="s">
        <v>156</v>
      </c>
      <c r="C13" s="5">
        <v>32.0</v>
      </c>
      <c r="D13" s="5">
        <v>5.0</v>
      </c>
      <c r="E13" s="5">
        <f t="shared" si="1"/>
        <v>160</v>
      </c>
      <c r="F13" s="5" t="s">
        <v>17</v>
      </c>
      <c r="G13" s="5" t="s">
        <v>45</v>
      </c>
      <c r="H13" s="5">
        <f> 246.99/2</f>
        <v>123.495</v>
      </c>
      <c r="I13" s="10">
        <v>2.5</v>
      </c>
    </row>
    <row r="14">
      <c r="A14" s="5" t="s">
        <v>177</v>
      </c>
      <c r="B14" s="5" t="s">
        <v>178</v>
      </c>
      <c r="C14" s="5">
        <v>128.0</v>
      </c>
      <c r="D14" s="5">
        <v>5.0</v>
      </c>
      <c r="E14" s="5">
        <f t="shared" si="1"/>
        <v>640</v>
      </c>
      <c r="F14" s="5" t="s">
        <v>11</v>
      </c>
      <c r="G14" s="5" t="s">
        <v>48</v>
      </c>
      <c r="H14" s="5">
        <f> 704.99/2</f>
        <v>352.495</v>
      </c>
      <c r="I14" s="10">
        <v>10.0</v>
      </c>
    </row>
    <row r="15">
      <c r="A15" s="5" t="s">
        <v>179</v>
      </c>
      <c r="B15" s="5" t="s">
        <v>180</v>
      </c>
      <c r="C15" s="5">
        <v>32.0</v>
      </c>
      <c r="D15" s="5">
        <v>4.0</v>
      </c>
      <c r="E15" s="5">
        <f t="shared" si="1"/>
        <v>128</v>
      </c>
      <c r="F15" s="5" t="s">
        <v>11</v>
      </c>
      <c r="G15" s="5" t="s">
        <v>45</v>
      </c>
      <c r="H15" s="5">
        <f> 149.99/2</f>
        <v>74.995</v>
      </c>
      <c r="I15" s="10">
        <v>2.0</v>
      </c>
    </row>
    <row r="16">
      <c r="A16" s="5" t="s">
        <v>181</v>
      </c>
      <c r="B16" s="5" t="s">
        <v>182</v>
      </c>
      <c r="C16" s="5">
        <v>32.0</v>
      </c>
      <c r="D16" s="5">
        <v>4.0</v>
      </c>
      <c r="E16" s="5">
        <f t="shared" si="1"/>
        <v>128</v>
      </c>
      <c r="F16" s="5" t="s">
        <v>11</v>
      </c>
      <c r="G16" s="5" t="s">
        <v>45</v>
      </c>
      <c r="H16" s="5">
        <f> 139.99/2</f>
        <v>69.995</v>
      </c>
      <c r="I16" s="10">
        <v>2.0</v>
      </c>
    </row>
    <row r="17">
      <c r="A17" s="5" t="s">
        <v>183</v>
      </c>
      <c r="B17" s="5" t="s">
        <v>184</v>
      </c>
      <c r="C17" s="5">
        <v>128.0</v>
      </c>
      <c r="D17" s="5">
        <v>5.0</v>
      </c>
      <c r="E17" s="5">
        <f t="shared" si="1"/>
        <v>640</v>
      </c>
      <c r="F17" s="5" t="s">
        <v>11</v>
      </c>
      <c r="G17" s="5" t="s">
        <v>48</v>
      </c>
      <c r="H17" s="5">
        <f> 897.99/2</f>
        <v>448.995</v>
      </c>
      <c r="I17" s="10">
        <v>10.0</v>
      </c>
    </row>
    <row r="18">
      <c r="A18" s="5" t="s">
        <v>185</v>
      </c>
      <c r="B18" s="5" t="s">
        <v>186</v>
      </c>
      <c r="C18" s="5">
        <v>48.0</v>
      </c>
      <c r="D18" s="5">
        <v>5.0</v>
      </c>
      <c r="E18" s="5">
        <f t="shared" si="1"/>
        <v>240</v>
      </c>
      <c r="F18" s="5" t="s">
        <v>20</v>
      </c>
      <c r="G18" s="5" t="s">
        <v>45</v>
      </c>
      <c r="H18" s="5">
        <v>250.0</v>
      </c>
      <c r="I18" s="10">
        <v>3.75</v>
      </c>
    </row>
    <row r="19">
      <c r="A19" s="5" t="s">
        <v>187</v>
      </c>
      <c r="B19" s="5" t="s">
        <v>188</v>
      </c>
      <c r="C19" s="5">
        <v>64.0</v>
      </c>
      <c r="D19" s="5">
        <v>5.0</v>
      </c>
      <c r="E19" s="5">
        <f t="shared" si="1"/>
        <v>320</v>
      </c>
      <c r="F19" s="5" t="s">
        <v>63</v>
      </c>
      <c r="G19" s="5" t="s">
        <v>45</v>
      </c>
      <c r="H19" s="5">
        <v>599.99</v>
      </c>
      <c r="I19" s="10">
        <v>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63"/>
    <col customWidth="1" min="3" max="3" width="15.63"/>
    <col customWidth="1" min="5" max="5" width="16.25"/>
    <col customWidth="1" min="7" max="7" width="44.0"/>
  </cols>
  <sheetData>
    <row r="1">
      <c r="A1" s="7" t="s">
        <v>37</v>
      </c>
      <c r="B1" s="7" t="s">
        <v>38</v>
      </c>
      <c r="C1" s="7" t="s">
        <v>189</v>
      </c>
      <c r="D1" s="7" t="s">
        <v>41</v>
      </c>
      <c r="E1" s="14" t="s">
        <v>42</v>
      </c>
      <c r="F1" s="11"/>
    </row>
    <row r="2">
      <c r="A2" s="5" t="s">
        <v>190</v>
      </c>
      <c r="B2" s="5" t="s">
        <v>191</v>
      </c>
      <c r="C2" s="5">
        <v>2000.0</v>
      </c>
      <c r="D2" s="5">
        <v>189.99</v>
      </c>
      <c r="E2" s="15">
        <v>10.0</v>
      </c>
    </row>
    <row r="3">
      <c r="A3" s="5" t="s">
        <v>192</v>
      </c>
      <c r="B3" s="16" t="s">
        <v>193</v>
      </c>
      <c r="C3" s="5">
        <v>1000.0</v>
      </c>
      <c r="D3" s="5">
        <v>85.99</v>
      </c>
      <c r="E3" s="15">
        <v>8.0</v>
      </c>
    </row>
    <row r="4">
      <c r="A4" s="5" t="s">
        <v>194</v>
      </c>
      <c r="B4" s="17" t="s">
        <v>195</v>
      </c>
      <c r="C4" s="5">
        <v>1000.0</v>
      </c>
      <c r="D4" s="5">
        <v>69.99</v>
      </c>
      <c r="E4" s="15">
        <v>7.0</v>
      </c>
    </row>
    <row r="5">
      <c r="A5" s="5" t="s">
        <v>196</v>
      </c>
      <c r="B5" s="5" t="s">
        <v>197</v>
      </c>
      <c r="C5" s="5">
        <v>2000.0</v>
      </c>
      <c r="D5" s="5">
        <v>148.99</v>
      </c>
      <c r="E5" s="15">
        <v>9.0</v>
      </c>
    </row>
    <row r="6">
      <c r="A6" s="5" t="s">
        <v>198</v>
      </c>
      <c r="B6" s="5" t="s">
        <v>199</v>
      </c>
      <c r="C6" s="5">
        <v>2000.0</v>
      </c>
      <c r="D6" s="5">
        <v>119.99</v>
      </c>
      <c r="E6" s="15">
        <v>7.0</v>
      </c>
    </row>
    <row r="7">
      <c r="A7" s="5" t="s">
        <v>200</v>
      </c>
      <c r="B7" s="5" t="s">
        <v>201</v>
      </c>
      <c r="C7" s="5">
        <v>1000.0</v>
      </c>
      <c r="D7" s="5">
        <v>99.99</v>
      </c>
      <c r="E7" s="15">
        <v>6.0</v>
      </c>
    </row>
    <row r="8">
      <c r="A8" s="5" t="s">
        <v>202</v>
      </c>
      <c r="B8" s="5" t="s">
        <v>203</v>
      </c>
      <c r="C8" s="5">
        <v>2000.0</v>
      </c>
      <c r="D8" s="5">
        <v>189.99</v>
      </c>
      <c r="E8" s="15">
        <v>6.0</v>
      </c>
    </row>
    <row r="9">
      <c r="A9" s="5" t="s">
        <v>204</v>
      </c>
      <c r="B9" s="5" t="s">
        <v>205</v>
      </c>
      <c r="C9" s="5">
        <v>1000.0</v>
      </c>
      <c r="D9" s="5">
        <v>64.99</v>
      </c>
      <c r="E9" s="15">
        <v>5.0</v>
      </c>
    </row>
    <row r="10">
      <c r="A10" s="5" t="s">
        <v>206</v>
      </c>
      <c r="B10" s="5" t="s">
        <v>207</v>
      </c>
      <c r="C10" s="5">
        <v>2000.0</v>
      </c>
      <c r="D10" s="5">
        <v>114.99</v>
      </c>
      <c r="E10" s="15">
        <v>5.0</v>
      </c>
    </row>
    <row r="11">
      <c r="A11" s="5" t="s">
        <v>208</v>
      </c>
      <c r="B11" s="5" t="s">
        <v>209</v>
      </c>
      <c r="C11" s="5">
        <v>1000.0</v>
      </c>
      <c r="D11" s="5">
        <v>62.99</v>
      </c>
      <c r="E11" s="15">
        <v>5.0</v>
      </c>
    </row>
    <row r="12">
      <c r="A12" s="5" t="s">
        <v>210</v>
      </c>
      <c r="B12" s="5" t="s">
        <v>211</v>
      </c>
      <c r="C12" s="5">
        <v>2000.0</v>
      </c>
      <c r="D12" s="5">
        <v>89.99</v>
      </c>
      <c r="E12" s="15">
        <v>3.0</v>
      </c>
    </row>
    <row r="13">
      <c r="A13" s="5" t="s">
        <v>212</v>
      </c>
      <c r="B13" s="5" t="s">
        <v>213</v>
      </c>
      <c r="C13" s="5">
        <v>2000.0</v>
      </c>
      <c r="D13" s="5">
        <v>65.99</v>
      </c>
      <c r="E13" s="15">
        <v>3.0</v>
      </c>
    </row>
    <row r="14">
      <c r="A14" s="5" t="s">
        <v>214</v>
      </c>
      <c r="B14" s="5" t="s">
        <v>215</v>
      </c>
      <c r="C14" s="5">
        <v>2000.0</v>
      </c>
      <c r="D14" s="5">
        <v>69.99</v>
      </c>
      <c r="E14" s="15">
        <v>3.0</v>
      </c>
    </row>
    <row r="15">
      <c r="A15" s="5" t="s">
        <v>216</v>
      </c>
      <c r="B15" s="5" t="s">
        <v>217</v>
      </c>
      <c r="C15" s="5">
        <v>2000.0</v>
      </c>
      <c r="D15" s="5">
        <v>47.99</v>
      </c>
      <c r="E15" s="15">
        <v>2.0</v>
      </c>
    </row>
    <row r="16">
      <c r="A16" s="5" t="s">
        <v>218</v>
      </c>
      <c r="B16" s="5" t="s">
        <v>219</v>
      </c>
      <c r="C16" s="5">
        <v>8000.0</v>
      </c>
      <c r="D16" s="5">
        <v>139.99</v>
      </c>
      <c r="E16" s="15">
        <v>3.0</v>
      </c>
    </row>
    <row r="21">
      <c r="A21" s="5" t="s">
        <v>220</v>
      </c>
    </row>
    <row r="22">
      <c r="A22" s="5" t="s">
        <v>221</v>
      </c>
    </row>
    <row r="23">
      <c r="A23" s="5" t="s">
        <v>222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63"/>
    <col customWidth="1" min="3" max="3" width="19.0"/>
  </cols>
  <sheetData>
    <row r="1">
      <c r="A1" s="7" t="s">
        <v>37</v>
      </c>
      <c r="B1" s="7" t="s">
        <v>38</v>
      </c>
      <c r="C1" s="7" t="s">
        <v>223</v>
      </c>
      <c r="D1" s="7" t="s">
        <v>5</v>
      </c>
      <c r="E1" s="7" t="s">
        <v>41</v>
      </c>
      <c r="F1" s="7" t="s">
        <v>224</v>
      </c>
      <c r="G1" s="8" t="s">
        <v>42</v>
      </c>
    </row>
    <row r="2">
      <c r="A2" s="5" t="s">
        <v>225</v>
      </c>
      <c r="B2" s="5" t="s">
        <v>226</v>
      </c>
      <c r="C2" s="5">
        <v>45.0</v>
      </c>
      <c r="D2" s="5" t="s">
        <v>11</v>
      </c>
      <c r="E2" s="5">
        <v>72.98</v>
      </c>
      <c r="F2" s="5" t="s">
        <v>45</v>
      </c>
      <c r="G2" s="10">
        <v>2.88</v>
      </c>
    </row>
    <row r="3">
      <c r="A3" s="5" t="s">
        <v>227</v>
      </c>
      <c r="B3" s="5" t="s">
        <v>228</v>
      </c>
      <c r="C3" s="5">
        <v>55.9</v>
      </c>
      <c r="D3" s="5" t="s">
        <v>14</v>
      </c>
      <c r="E3" s="5">
        <v>89.99</v>
      </c>
      <c r="F3" s="5" t="s">
        <v>45</v>
      </c>
      <c r="G3" s="10">
        <v>4.46</v>
      </c>
    </row>
    <row r="4">
      <c r="A4" s="5" t="s">
        <v>229</v>
      </c>
      <c r="B4" s="5" t="s">
        <v>230</v>
      </c>
      <c r="C4" s="5">
        <v>45.0</v>
      </c>
      <c r="D4" s="5" t="s">
        <v>14</v>
      </c>
      <c r="E4" s="5">
        <v>85.99</v>
      </c>
      <c r="F4" s="5" t="s">
        <v>48</v>
      </c>
      <c r="G4" s="10">
        <v>2.88</v>
      </c>
    </row>
    <row r="5">
      <c r="A5" s="5" t="s">
        <v>231</v>
      </c>
      <c r="B5" s="5" t="s">
        <v>232</v>
      </c>
      <c r="C5" s="5">
        <v>51.8</v>
      </c>
      <c r="D5" s="5" t="s">
        <v>11</v>
      </c>
      <c r="E5" s="5">
        <v>69.99</v>
      </c>
      <c r="F5" s="5" t="s">
        <v>48</v>
      </c>
      <c r="G5" s="10">
        <v>3.86</v>
      </c>
    </row>
    <row r="6">
      <c r="A6" s="5" t="s">
        <v>233</v>
      </c>
      <c r="B6" s="5" t="s">
        <v>234</v>
      </c>
      <c r="C6" s="5">
        <v>53.0</v>
      </c>
      <c r="D6" s="5" t="s">
        <v>11</v>
      </c>
      <c r="E6" s="5">
        <v>115.99</v>
      </c>
      <c r="F6" s="5" t="s">
        <v>45</v>
      </c>
      <c r="G6" s="10">
        <v>4.03</v>
      </c>
    </row>
    <row r="7">
      <c r="A7" s="5" t="s">
        <v>235</v>
      </c>
      <c r="B7" s="5" t="s">
        <v>236</v>
      </c>
      <c r="C7" s="5">
        <v>51.6</v>
      </c>
      <c r="D7" s="5" t="s">
        <v>63</v>
      </c>
      <c r="E7" s="5">
        <v>111.99</v>
      </c>
      <c r="F7" s="5" t="s">
        <v>45</v>
      </c>
      <c r="G7" s="10">
        <v>3.84</v>
      </c>
    </row>
    <row r="8">
      <c r="A8" s="5" t="s">
        <v>237</v>
      </c>
      <c r="B8" s="5" t="s">
        <v>238</v>
      </c>
      <c r="C8" s="5">
        <v>32.1</v>
      </c>
      <c r="D8" s="5" t="s">
        <v>20</v>
      </c>
      <c r="E8" s="5">
        <v>69.98</v>
      </c>
      <c r="F8" s="5" t="s">
        <v>45</v>
      </c>
      <c r="G8" s="10">
        <v>1.0</v>
      </c>
    </row>
    <row r="9">
      <c r="A9" s="5" t="s">
        <v>239</v>
      </c>
      <c r="B9" s="5" t="s">
        <v>240</v>
      </c>
      <c r="C9" s="5">
        <v>63.1</v>
      </c>
      <c r="D9" s="5" t="s">
        <v>63</v>
      </c>
      <c r="E9" s="5">
        <v>159.99</v>
      </c>
      <c r="F9" s="5" t="s">
        <v>48</v>
      </c>
      <c r="G9" s="10">
        <v>5.51</v>
      </c>
    </row>
    <row r="10">
      <c r="A10" s="5" t="s">
        <v>241</v>
      </c>
      <c r="B10" s="5" t="s">
        <v>242</v>
      </c>
      <c r="C10" s="5">
        <v>62.4</v>
      </c>
      <c r="D10" s="5" t="s">
        <v>11</v>
      </c>
      <c r="E10" s="5">
        <v>119.99</v>
      </c>
      <c r="F10" s="5" t="s">
        <v>45</v>
      </c>
      <c r="G10" s="10">
        <v>5.41</v>
      </c>
    </row>
    <row r="11">
      <c r="A11" s="5" t="s">
        <v>243</v>
      </c>
      <c r="B11" s="5" t="s">
        <v>244</v>
      </c>
      <c r="C11" s="5">
        <v>66.9</v>
      </c>
      <c r="D11" s="5" t="s">
        <v>14</v>
      </c>
      <c r="E11" s="5">
        <v>141.99</v>
      </c>
      <c r="F11" s="5" t="s">
        <v>45</v>
      </c>
      <c r="G11" s="10">
        <v>6.06</v>
      </c>
    </row>
    <row r="12">
      <c r="A12" s="5" t="s">
        <v>245</v>
      </c>
      <c r="B12" s="5" t="s">
        <v>246</v>
      </c>
      <c r="C12" s="5">
        <v>46.4</v>
      </c>
      <c r="D12" s="5" t="s">
        <v>20</v>
      </c>
      <c r="E12" s="5">
        <v>99.99</v>
      </c>
      <c r="F12" s="5" t="s">
        <v>45</v>
      </c>
      <c r="G12" s="10">
        <v>3.08</v>
      </c>
    </row>
    <row r="13">
      <c r="A13" s="5" t="s">
        <v>247</v>
      </c>
      <c r="B13" s="5" t="s">
        <v>248</v>
      </c>
      <c r="C13" s="5">
        <v>69.1</v>
      </c>
      <c r="D13" s="5" t="s">
        <v>11</v>
      </c>
      <c r="E13" s="5">
        <v>142.99</v>
      </c>
      <c r="F13" s="5" t="s">
        <v>48</v>
      </c>
      <c r="G13" s="10">
        <v>6.38</v>
      </c>
    </row>
    <row r="14">
      <c r="A14" s="5" t="s">
        <v>249</v>
      </c>
      <c r="B14" s="5" t="s">
        <v>250</v>
      </c>
      <c r="C14" s="5">
        <v>62.6</v>
      </c>
      <c r="D14" s="5" t="s">
        <v>14</v>
      </c>
      <c r="E14" s="5">
        <v>139.99</v>
      </c>
      <c r="F14" s="5" t="s">
        <v>45</v>
      </c>
      <c r="G14" s="10">
        <v>5.43</v>
      </c>
    </row>
    <row r="15">
      <c r="A15" s="5" t="s">
        <v>251</v>
      </c>
      <c r="B15" s="5" t="s">
        <v>252</v>
      </c>
      <c r="C15" s="5">
        <v>84.2</v>
      </c>
      <c r="D15" s="5" t="s">
        <v>11</v>
      </c>
      <c r="E15" s="5">
        <v>184.99</v>
      </c>
      <c r="F15" s="5" t="s">
        <v>45</v>
      </c>
      <c r="G15" s="10">
        <v>8.57</v>
      </c>
    </row>
    <row r="16">
      <c r="A16" s="5" t="s">
        <v>253</v>
      </c>
      <c r="B16" s="5" t="s">
        <v>254</v>
      </c>
      <c r="C16" s="5">
        <v>94.0</v>
      </c>
      <c r="D16" s="5" t="s">
        <v>11</v>
      </c>
      <c r="E16" s="5">
        <v>219.99</v>
      </c>
      <c r="F16" s="5" t="s">
        <v>45</v>
      </c>
      <c r="G16" s="10">
        <v>10.0</v>
      </c>
    </row>
    <row r="17">
      <c r="A17" s="5" t="s">
        <v>255</v>
      </c>
      <c r="B17" s="5" t="s">
        <v>256</v>
      </c>
      <c r="C17" s="5">
        <v>69.8</v>
      </c>
      <c r="D17" s="5" t="s">
        <v>17</v>
      </c>
      <c r="E17" s="5">
        <v>646.0</v>
      </c>
      <c r="F17" s="5" t="s">
        <v>45</v>
      </c>
      <c r="G17" s="10">
        <v>6.48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5"/>
  </cols>
  <sheetData>
    <row r="1">
      <c r="A1" s="7" t="s">
        <v>37</v>
      </c>
      <c r="B1" s="7" t="s">
        <v>38</v>
      </c>
      <c r="C1" s="7" t="s">
        <v>257</v>
      </c>
      <c r="D1" s="7" t="s">
        <v>5</v>
      </c>
      <c r="E1" s="7" t="s">
        <v>41</v>
      </c>
      <c r="F1" s="8" t="s">
        <v>42</v>
      </c>
      <c r="G1" s="11"/>
    </row>
    <row r="2">
      <c r="A2" s="5" t="s">
        <v>258</v>
      </c>
      <c r="B2" s="5" t="s">
        <v>259</v>
      </c>
      <c r="C2" s="5">
        <v>750.0</v>
      </c>
      <c r="D2" s="5" t="s">
        <v>11</v>
      </c>
      <c r="E2" s="5">
        <v>109.99</v>
      </c>
      <c r="F2" s="10">
        <v>1.8</v>
      </c>
    </row>
    <row r="3">
      <c r="A3" s="5" t="s">
        <v>260</v>
      </c>
      <c r="B3" s="5" t="s">
        <v>261</v>
      </c>
      <c r="C3" s="5">
        <v>1000.0</v>
      </c>
      <c r="D3" s="5" t="s">
        <v>20</v>
      </c>
      <c r="E3" s="5">
        <v>109.99</v>
      </c>
      <c r="F3" s="10">
        <v>2.8</v>
      </c>
    </row>
    <row r="4">
      <c r="A4" s="5" t="s">
        <v>262</v>
      </c>
      <c r="B4" s="5" t="s">
        <v>263</v>
      </c>
      <c r="C4" s="5">
        <v>650.0</v>
      </c>
      <c r="D4" s="5" t="s">
        <v>11</v>
      </c>
      <c r="E4" s="5">
        <v>72.86</v>
      </c>
      <c r="F4" s="10">
        <v>1.4</v>
      </c>
    </row>
    <row r="5">
      <c r="A5" s="5" t="s">
        <v>264</v>
      </c>
      <c r="B5" s="5" t="s">
        <v>265</v>
      </c>
      <c r="C5" s="5">
        <v>850.0</v>
      </c>
      <c r="D5" s="5" t="s">
        <v>11</v>
      </c>
      <c r="E5" s="5">
        <v>109.99</v>
      </c>
      <c r="F5" s="10">
        <v>2.2</v>
      </c>
    </row>
    <row r="6">
      <c r="A6" s="5" t="s">
        <v>266</v>
      </c>
      <c r="B6" s="5" t="s">
        <v>267</v>
      </c>
      <c r="C6" s="5">
        <v>1000.0</v>
      </c>
      <c r="D6" s="5" t="s">
        <v>11</v>
      </c>
      <c r="E6" s="5">
        <v>199.99</v>
      </c>
      <c r="F6" s="10">
        <v>2.8</v>
      </c>
    </row>
    <row r="7">
      <c r="A7" s="5" t="s">
        <v>268</v>
      </c>
      <c r="B7" s="5" t="s">
        <v>269</v>
      </c>
      <c r="C7" s="5">
        <v>1250.0</v>
      </c>
      <c r="D7" s="5" t="s">
        <v>63</v>
      </c>
      <c r="E7" s="5">
        <v>433.65</v>
      </c>
      <c r="F7" s="10">
        <v>3.8</v>
      </c>
    </row>
    <row r="8">
      <c r="A8" s="5" t="s">
        <v>270</v>
      </c>
      <c r="B8" s="5" t="s">
        <v>271</v>
      </c>
      <c r="C8" s="5">
        <v>750.0</v>
      </c>
      <c r="D8" s="5" t="s">
        <v>11</v>
      </c>
      <c r="E8" s="5">
        <v>89.99</v>
      </c>
      <c r="F8" s="10">
        <v>1.8</v>
      </c>
    </row>
    <row r="9">
      <c r="A9" s="5" t="s">
        <v>272</v>
      </c>
      <c r="B9" s="5" t="s">
        <v>273</v>
      </c>
      <c r="C9" s="5">
        <v>550.0</v>
      </c>
      <c r="D9" s="5" t="s">
        <v>11</v>
      </c>
      <c r="E9" s="5">
        <v>58.0</v>
      </c>
      <c r="F9" s="10">
        <v>1.0</v>
      </c>
    </row>
    <row r="10">
      <c r="A10" s="5" t="s">
        <v>274</v>
      </c>
      <c r="B10" s="5" t="s">
        <v>275</v>
      </c>
      <c r="C10" s="5">
        <v>2050.0</v>
      </c>
      <c r="D10" s="5" t="s">
        <v>11</v>
      </c>
      <c r="E10" s="5">
        <v>1537.49</v>
      </c>
      <c r="F10" s="10">
        <v>7.0</v>
      </c>
    </row>
    <row r="11">
      <c r="A11" s="5" t="s">
        <v>276</v>
      </c>
      <c r="B11" s="5" t="s">
        <v>277</v>
      </c>
      <c r="C11" s="5">
        <v>1000.0</v>
      </c>
      <c r="D11" s="5" t="s">
        <v>11</v>
      </c>
      <c r="E11" s="5">
        <v>181.01</v>
      </c>
      <c r="F11" s="10">
        <v>2.8</v>
      </c>
    </row>
    <row r="12">
      <c r="A12" s="5" t="s">
        <v>278</v>
      </c>
      <c r="B12" s="5" t="s">
        <v>279</v>
      </c>
      <c r="C12" s="5">
        <v>850.0</v>
      </c>
      <c r="D12" s="5" t="s">
        <v>14</v>
      </c>
      <c r="E12" s="5">
        <v>120.99</v>
      </c>
      <c r="F12" s="10">
        <v>2.2</v>
      </c>
    </row>
    <row r="13">
      <c r="A13" s="5" t="s">
        <v>280</v>
      </c>
      <c r="B13" s="5" t="s">
        <v>281</v>
      </c>
      <c r="C13" s="5">
        <v>1600.0</v>
      </c>
      <c r="D13" s="5" t="s">
        <v>17</v>
      </c>
      <c r="E13" s="5">
        <v>949.9</v>
      </c>
      <c r="F13" s="10">
        <v>5.2</v>
      </c>
    </row>
    <row r="14">
      <c r="A14" s="5" t="s">
        <v>282</v>
      </c>
      <c r="B14" s="5" t="s">
        <v>283</v>
      </c>
      <c r="C14" s="5">
        <v>2800.0</v>
      </c>
      <c r="D14" s="5" t="s">
        <v>11</v>
      </c>
      <c r="E14" s="5">
        <v>799.9</v>
      </c>
      <c r="F14" s="10">
        <v>10.0</v>
      </c>
    </row>
    <row r="15">
      <c r="A15" s="5" t="s">
        <v>284</v>
      </c>
      <c r="B15" s="5" t="s">
        <v>285</v>
      </c>
      <c r="C15" s="5">
        <v>550.0</v>
      </c>
      <c r="D15" s="5" t="s">
        <v>63</v>
      </c>
      <c r="E15" s="5">
        <v>201.0</v>
      </c>
      <c r="F15" s="10">
        <v>1.0</v>
      </c>
    </row>
    <row r="16">
      <c r="A16" s="5" t="s">
        <v>286</v>
      </c>
      <c r="B16" s="5" t="s">
        <v>287</v>
      </c>
      <c r="C16" s="5">
        <v>600.0</v>
      </c>
      <c r="D16" s="5" t="s">
        <v>17</v>
      </c>
      <c r="E16" s="5">
        <v>309.99</v>
      </c>
      <c r="F16" s="10">
        <v>1.2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38"/>
    <col customWidth="1" min="3" max="3" width="16.75"/>
  </cols>
  <sheetData>
    <row r="1">
      <c r="A1" s="7" t="s">
        <v>37</v>
      </c>
      <c r="B1" s="7" t="s">
        <v>38</v>
      </c>
      <c r="C1" s="7" t="s">
        <v>288</v>
      </c>
      <c r="D1" s="7" t="s">
        <v>40</v>
      </c>
      <c r="E1" s="7" t="s">
        <v>5</v>
      </c>
      <c r="F1" s="7" t="s">
        <v>41</v>
      </c>
      <c r="G1" s="8" t="s">
        <v>42</v>
      </c>
      <c r="H1" s="11"/>
    </row>
    <row r="2">
      <c r="A2" s="5" t="s">
        <v>289</v>
      </c>
      <c r="B2" s="5" t="s">
        <v>290</v>
      </c>
      <c r="C2" s="5">
        <v>56.4</v>
      </c>
      <c r="D2" s="5" t="s">
        <v>48</v>
      </c>
      <c r="E2" s="5" t="s">
        <v>14</v>
      </c>
      <c r="F2" s="5">
        <v>94.99</v>
      </c>
      <c r="G2" s="10">
        <v>5.33</v>
      </c>
    </row>
    <row r="3">
      <c r="A3" s="5" t="s">
        <v>291</v>
      </c>
      <c r="B3" s="5" t="s">
        <v>292</v>
      </c>
      <c r="C3" s="5">
        <v>56.4</v>
      </c>
      <c r="D3" s="5" t="s">
        <v>48</v>
      </c>
      <c r="E3" s="5" t="s">
        <v>11</v>
      </c>
      <c r="F3" s="5">
        <v>104.99</v>
      </c>
      <c r="G3" s="10">
        <v>5.33</v>
      </c>
    </row>
    <row r="4">
      <c r="A4" s="5" t="s">
        <v>293</v>
      </c>
      <c r="B4" s="5" t="s">
        <v>294</v>
      </c>
      <c r="C4" s="5">
        <v>55.2</v>
      </c>
      <c r="D4" s="5" t="s">
        <v>48</v>
      </c>
      <c r="E4" s="5" t="s">
        <v>11</v>
      </c>
      <c r="F4" s="5">
        <v>153.08</v>
      </c>
      <c r="G4" s="10">
        <v>5.9</v>
      </c>
    </row>
    <row r="5">
      <c r="A5" s="5" t="s">
        <v>295</v>
      </c>
      <c r="B5" s="5" t="s">
        <v>296</v>
      </c>
      <c r="C5" s="5">
        <v>57.6</v>
      </c>
      <c r="D5" s="5" t="s">
        <v>45</v>
      </c>
      <c r="E5" s="5" t="s">
        <v>11</v>
      </c>
      <c r="F5" s="5">
        <v>59.99</v>
      </c>
      <c r="G5" s="10">
        <v>4.75</v>
      </c>
    </row>
    <row r="6">
      <c r="A6" s="5" t="s">
        <v>297</v>
      </c>
      <c r="B6" s="5" t="s">
        <v>298</v>
      </c>
      <c r="C6" s="5">
        <v>58.9</v>
      </c>
      <c r="D6" s="5" t="s">
        <v>45</v>
      </c>
      <c r="E6" s="5" t="s">
        <v>11</v>
      </c>
      <c r="F6" s="5">
        <v>48.37</v>
      </c>
      <c r="G6" s="10">
        <v>4.13</v>
      </c>
    </row>
    <row r="7">
      <c r="A7" s="5" t="s">
        <v>299</v>
      </c>
      <c r="B7" s="5" t="s">
        <v>300</v>
      </c>
      <c r="C7" s="5">
        <v>65.4</v>
      </c>
      <c r="D7" s="5" t="s">
        <v>48</v>
      </c>
      <c r="E7" s="5" t="s">
        <v>11</v>
      </c>
      <c r="F7" s="5">
        <v>74.0</v>
      </c>
      <c r="G7" s="10">
        <v>1.0</v>
      </c>
    </row>
    <row r="8">
      <c r="A8" s="5" t="s">
        <v>301</v>
      </c>
      <c r="B8" s="5" t="s">
        <v>302</v>
      </c>
      <c r="C8" s="5">
        <v>52.0</v>
      </c>
      <c r="D8" s="5" t="s">
        <v>45</v>
      </c>
      <c r="E8" s="5" t="s">
        <v>11</v>
      </c>
      <c r="F8" s="5">
        <v>334.99</v>
      </c>
      <c r="G8" s="10">
        <v>7.45</v>
      </c>
    </row>
    <row r="9">
      <c r="A9" s="5" t="s">
        <v>303</v>
      </c>
      <c r="B9" s="5" t="s">
        <v>304</v>
      </c>
      <c r="C9" s="5">
        <v>52.0</v>
      </c>
      <c r="D9" s="5" t="s">
        <v>45</v>
      </c>
      <c r="E9" s="5" t="s">
        <v>14</v>
      </c>
      <c r="F9" s="5">
        <v>334.99</v>
      </c>
      <c r="G9" s="10">
        <v>7.45</v>
      </c>
    </row>
    <row r="10">
      <c r="A10" s="5" t="s">
        <v>305</v>
      </c>
      <c r="B10" s="5" t="s">
        <v>306</v>
      </c>
      <c r="C10" s="5">
        <v>46.7</v>
      </c>
      <c r="D10" s="5" t="s">
        <v>45</v>
      </c>
      <c r="E10" s="5" t="s">
        <v>14</v>
      </c>
      <c r="F10" s="5">
        <v>159.99</v>
      </c>
      <c r="G10" s="10">
        <v>10.0</v>
      </c>
    </row>
    <row r="11">
      <c r="A11" s="5" t="s">
        <v>307</v>
      </c>
      <c r="B11" s="5" t="s">
        <v>306</v>
      </c>
      <c r="C11" s="5">
        <v>46.7</v>
      </c>
      <c r="D11" s="5" t="s">
        <v>45</v>
      </c>
      <c r="E11" s="5" t="s">
        <v>11</v>
      </c>
      <c r="F11" s="5">
        <v>159.99</v>
      </c>
      <c r="G11" s="10">
        <v>10.0</v>
      </c>
    </row>
    <row r="12">
      <c r="A12" s="5" t="s">
        <v>308</v>
      </c>
      <c r="B12" s="5" t="s">
        <v>309</v>
      </c>
      <c r="C12" s="5">
        <v>58.2</v>
      </c>
      <c r="D12" s="5" t="s">
        <v>45</v>
      </c>
      <c r="E12" s="5" t="s">
        <v>11</v>
      </c>
      <c r="F12" s="5">
        <v>134.22</v>
      </c>
      <c r="G12" s="10">
        <v>4.46</v>
      </c>
    </row>
    <row r="13">
      <c r="A13" s="5" t="s">
        <v>310</v>
      </c>
      <c r="B13" s="5" t="s">
        <v>311</v>
      </c>
      <c r="C13" s="5">
        <v>58.0</v>
      </c>
      <c r="D13" s="5" t="s">
        <v>45</v>
      </c>
      <c r="E13" s="5" t="s">
        <v>20</v>
      </c>
      <c r="F13" s="5">
        <v>209.99</v>
      </c>
      <c r="G13" s="10">
        <v>4.56</v>
      </c>
    </row>
    <row r="14">
      <c r="A14" s="5" t="s">
        <v>312</v>
      </c>
      <c r="B14" s="18" t="s">
        <v>313</v>
      </c>
      <c r="C14" s="5">
        <v>52.0</v>
      </c>
      <c r="D14" s="5" t="s">
        <v>45</v>
      </c>
      <c r="E14" s="5" t="s">
        <v>17</v>
      </c>
      <c r="F14" s="5">
        <v>79.99</v>
      </c>
      <c r="G14" s="10">
        <v>7.45</v>
      </c>
    </row>
    <row r="15">
      <c r="A15" s="5" t="s">
        <v>314</v>
      </c>
      <c r="B15" s="5" t="s">
        <v>315</v>
      </c>
      <c r="C15" s="5">
        <v>59.2</v>
      </c>
      <c r="D15" s="5" t="s">
        <v>45</v>
      </c>
      <c r="E15" s="5" t="s">
        <v>63</v>
      </c>
      <c r="F15" s="5">
        <v>99.99</v>
      </c>
      <c r="G15" s="10">
        <v>3.98</v>
      </c>
    </row>
    <row r="22">
      <c r="A22" s="19" t="s">
        <v>316</v>
      </c>
    </row>
  </sheetData>
  <hyperlinks>
    <hyperlink r:id="rId1" location="Best-CPU-Coolers-Benchmarks-Chart-Gallery" ref="A2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25"/>
  </cols>
  <sheetData>
    <row r="1">
      <c r="A1" s="7" t="s">
        <v>37</v>
      </c>
      <c r="B1" s="7" t="s">
        <v>38</v>
      </c>
      <c r="C1" s="7" t="s">
        <v>317</v>
      </c>
      <c r="D1" s="7" t="s">
        <v>40</v>
      </c>
      <c r="E1" s="7" t="s">
        <v>5</v>
      </c>
      <c r="F1" s="7" t="s">
        <v>318</v>
      </c>
      <c r="G1" s="8" t="s">
        <v>42</v>
      </c>
      <c r="H1" s="11"/>
    </row>
    <row r="2">
      <c r="A2" s="5" t="s">
        <v>319</v>
      </c>
      <c r="B2" s="5" t="s">
        <v>320</v>
      </c>
      <c r="C2" s="5">
        <v>2100.0</v>
      </c>
      <c r="D2" s="5" t="s">
        <v>45</v>
      </c>
      <c r="E2" s="5" t="s">
        <v>11</v>
      </c>
      <c r="F2" s="5">
        <v>23.68</v>
      </c>
      <c r="G2" s="10">
        <v>2.63</v>
      </c>
    </row>
    <row r="3">
      <c r="A3" s="5" t="s">
        <v>321</v>
      </c>
      <c r="B3" s="5" t="s">
        <v>322</v>
      </c>
      <c r="C3" s="5">
        <v>3000.0</v>
      </c>
      <c r="D3" s="5" t="s">
        <v>48</v>
      </c>
      <c r="E3" s="5" t="s">
        <v>11</v>
      </c>
      <c r="F3" s="5">
        <v>5.5</v>
      </c>
      <c r="G3" s="10">
        <v>3.75</v>
      </c>
    </row>
    <row r="4">
      <c r="A4" s="5" t="s">
        <v>323</v>
      </c>
      <c r="B4" s="5" t="s">
        <v>324</v>
      </c>
      <c r="C4" s="5">
        <v>2100.0</v>
      </c>
      <c r="D4" s="5" t="s">
        <v>45</v>
      </c>
      <c r="E4" s="5" t="s">
        <v>14</v>
      </c>
      <c r="F4" s="5">
        <v>32.99</v>
      </c>
      <c r="G4" s="10">
        <v>2.63</v>
      </c>
    </row>
    <row r="5">
      <c r="A5" s="5" t="s">
        <v>325</v>
      </c>
      <c r="B5" s="5" t="s">
        <v>326</v>
      </c>
      <c r="C5" s="5">
        <v>1700.0</v>
      </c>
      <c r="D5" s="5" t="s">
        <v>48</v>
      </c>
      <c r="E5" s="5" t="s">
        <v>17</v>
      </c>
      <c r="F5" s="5">
        <v>15.85</v>
      </c>
      <c r="G5" s="10">
        <v>2.13</v>
      </c>
    </row>
    <row r="6">
      <c r="A6" s="5" t="s">
        <v>327</v>
      </c>
      <c r="B6" s="5" t="s">
        <v>328</v>
      </c>
      <c r="C6" s="5">
        <v>1300.0</v>
      </c>
      <c r="D6" s="5" t="s">
        <v>45</v>
      </c>
      <c r="E6" s="5" t="s">
        <v>20</v>
      </c>
      <c r="F6" s="5">
        <v>8.99</v>
      </c>
      <c r="G6" s="10">
        <v>1.62</v>
      </c>
    </row>
    <row r="7">
      <c r="A7" s="5" t="s">
        <v>329</v>
      </c>
      <c r="B7" s="5" t="s">
        <v>330</v>
      </c>
      <c r="C7" s="5">
        <v>2000.0</v>
      </c>
      <c r="D7" s="5" t="s">
        <v>45</v>
      </c>
      <c r="E7" s="5" t="s">
        <v>14</v>
      </c>
      <c r="F7" s="5">
        <v>80.72</v>
      </c>
      <c r="G7" s="10">
        <v>2.5</v>
      </c>
    </row>
    <row r="8">
      <c r="A8" s="5" t="s">
        <v>331</v>
      </c>
      <c r="B8" s="5" t="s">
        <v>332</v>
      </c>
      <c r="C8" s="5">
        <v>800.0</v>
      </c>
      <c r="D8" s="5" t="s">
        <v>48</v>
      </c>
      <c r="E8" s="5" t="s">
        <v>63</v>
      </c>
      <c r="F8" s="5">
        <v>17.98</v>
      </c>
      <c r="G8" s="10">
        <v>1.0</v>
      </c>
    </row>
    <row r="9">
      <c r="A9" s="5" t="s">
        <v>333</v>
      </c>
      <c r="B9" s="5" t="s">
        <v>334</v>
      </c>
      <c r="C9" s="5">
        <v>2500.0</v>
      </c>
      <c r="D9" s="5" t="s">
        <v>48</v>
      </c>
      <c r="E9" s="5" t="s">
        <v>63</v>
      </c>
      <c r="F9" s="5">
        <v>28.99</v>
      </c>
      <c r="G9" s="10">
        <v>3.12</v>
      </c>
    </row>
    <row r="10">
      <c r="A10" s="5" t="s">
        <v>335</v>
      </c>
      <c r="B10" s="5" t="s">
        <v>336</v>
      </c>
      <c r="C10" s="5">
        <v>1500.0</v>
      </c>
      <c r="D10" s="5" t="s">
        <v>45</v>
      </c>
      <c r="E10" s="5" t="s">
        <v>14</v>
      </c>
      <c r="F10" s="5">
        <v>4.97</v>
      </c>
      <c r="G10" s="10">
        <v>1.87</v>
      </c>
    </row>
    <row r="11">
      <c r="A11" s="5" t="s">
        <v>337</v>
      </c>
      <c r="B11" s="5" t="s">
        <v>338</v>
      </c>
      <c r="C11" s="5">
        <v>1600.0</v>
      </c>
      <c r="D11" s="5" t="s">
        <v>48</v>
      </c>
      <c r="E11" s="5" t="s">
        <v>11</v>
      </c>
      <c r="F11" s="5">
        <v>19.9</v>
      </c>
      <c r="G11" s="10">
        <v>2.0</v>
      </c>
    </row>
    <row r="12">
      <c r="A12" s="5" t="s">
        <v>339</v>
      </c>
      <c r="B12" s="5" t="s">
        <v>340</v>
      </c>
      <c r="C12" s="5">
        <v>8000.0</v>
      </c>
      <c r="D12" s="5" t="s">
        <v>48</v>
      </c>
      <c r="E12" s="5" t="s">
        <v>11</v>
      </c>
      <c r="F12" s="5">
        <v>15.99</v>
      </c>
      <c r="G12" s="10">
        <v>10.0</v>
      </c>
    </row>
    <row r="13">
      <c r="A13" s="5" t="s">
        <v>341</v>
      </c>
      <c r="B13" s="5" t="s">
        <v>342</v>
      </c>
      <c r="C13" s="5">
        <v>1600.0</v>
      </c>
      <c r="D13" s="5" t="s">
        <v>48</v>
      </c>
      <c r="E13" s="5" t="s">
        <v>343</v>
      </c>
      <c r="F13" s="5">
        <v>8.99</v>
      </c>
      <c r="G13" s="10">
        <v>2.0</v>
      </c>
    </row>
    <row r="14">
      <c r="A14" s="5" t="s">
        <v>344</v>
      </c>
      <c r="B14" s="5" t="s">
        <v>345</v>
      </c>
      <c r="C14" s="5">
        <v>5000.0</v>
      </c>
      <c r="D14" s="5" t="s">
        <v>48</v>
      </c>
      <c r="E14" s="5" t="s">
        <v>11</v>
      </c>
      <c r="F14" s="5">
        <v>8.99</v>
      </c>
      <c r="G14" s="10">
        <v>6.25</v>
      </c>
    </row>
    <row r="15">
      <c r="A15" s="5" t="s">
        <v>346</v>
      </c>
      <c r="B15" s="5" t="s">
        <v>347</v>
      </c>
      <c r="C15" s="5">
        <v>2200.0</v>
      </c>
      <c r="D15" s="5" t="s">
        <v>45</v>
      </c>
      <c r="E15" s="5" t="s">
        <v>11</v>
      </c>
      <c r="F15" s="5">
        <v>46.65</v>
      </c>
      <c r="G15" s="10">
        <v>2.75</v>
      </c>
    </row>
    <row r="16">
      <c r="A16" s="5" t="s">
        <v>348</v>
      </c>
      <c r="B16" s="5" t="s">
        <v>349</v>
      </c>
      <c r="C16" s="5">
        <v>2000.0</v>
      </c>
      <c r="D16" s="5" t="s">
        <v>45</v>
      </c>
      <c r="E16" s="5" t="s">
        <v>20</v>
      </c>
      <c r="F16" s="5">
        <v>64.98</v>
      </c>
      <c r="G16" s="10">
        <v>2.5</v>
      </c>
    </row>
  </sheetData>
  <drawing r:id="rId1"/>
</worksheet>
</file>